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ismaKitabi"/>
  <mc:AlternateContent xmlns:mc="http://schemas.openxmlformats.org/markup-compatibility/2006">
    <mc:Choice Requires="x15">
      <x15ac:absPath xmlns:x15ac="http://schemas.microsoft.com/office/spreadsheetml/2010/11/ac" url="https://pakyurektarim1-my.sharepoint.com/personal/ulasisibol_pakyurek_com/Documents/E-TİCARET/"/>
    </mc:Choice>
  </mc:AlternateContent>
  <xr:revisionPtr revIDLastSave="2022" documentId="8_{F3865AAC-2DF8-47B2-AB4C-3948D956DA09}" xr6:coauthVersionLast="47" xr6:coauthVersionMax="47" xr10:uidLastSave="{C58B7707-82F7-4FFA-9A53-1158D59A078C}"/>
  <bookViews>
    <workbookView xWindow="-120" yWindow="-120" windowWidth="29040" windowHeight="15720" xr2:uid="{00000000-000D-0000-FFFF-FFFF00000000}"/>
  </bookViews>
  <sheets>
    <sheet name="CRM_Tek_Sayfa" sheetId="1" r:id="rId1"/>
    <sheet name="İNDİRİMİN CİROYA ETKİSİ" sheetId="7" r:id="rId2"/>
    <sheet name="KAMPANYANIN CİROYA ETKİSİ" sheetId="9" r:id="rId3"/>
    <sheet name="data" sheetId="8" r:id="rId4"/>
    <sheet name="Listeler" sheetId="2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9" l="1"/>
  <c r="A20" i="9"/>
  <c r="D19" i="9"/>
  <c r="D18" i="9"/>
  <c r="D17" i="9"/>
  <c r="D16" i="9"/>
  <c r="D15" i="9"/>
  <c r="D13" i="9"/>
  <c r="A28" i="7"/>
  <c r="M222" i="1"/>
  <c r="M221" i="1"/>
  <c r="M220" i="1"/>
  <c r="M219" i="1"/>
  <c r="M218" i="1"/>
  <c r="M4" i="1"/>
  <c r="M24" i="1"/>
  <c r="M191" i="1"/>
  <c r="M192" i="1"/>
  <c r="M193" i="1"/>
  <c r="M194" i="1"/>
  <c r="M9" i="1"/>
  <c r="M8" i="1"/>
  <c r="M52" i="1"/>
  <c r="M10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13" i="1"/>
  <c r="M44" i="1"/>
  <c r="M45" i="1"/>
  <c r="M46" i="1"/>
  <c r="M47" i="1"/>
  <c r="M48" i="1"/>
  <c r="M49" i="1"/>
  <c r="M50" i="1"/>
  <c r="M51" i="1"/>
  <c r="M12" i="1"/>
  <c r="M53" i="1"/>
  <c r="M57" i="1"/>
  <c r="M60" i="1"/>
  <c r="M61" i="1"/>
  <c r="M62" i="1"/>
  <c r="M67" i="1"/>
  <c r="M68" i="1"/>
  <c r="M72" i="1"/>
  <c r="M74" i="1"/>
  <c r="M75" i="1"/>
  <c r="M15" i="1"/>
  <c r="M80" i="1"/>
  <c r="M82" i="1"/>
  <c r="M11" i="1"/>
  <c r="M6" i="1"/>
  <c r="M89" i="1"/>
  <c r="M90" i="1"/>
  <c r="M95" i="1"/>
  <c r="M97" i="1"/>
  <c r="M99" i="1"/>
  <c r="M100" i="1"/>
  <c r="M101" i="1"/>
  <c r="M102" i="1"/>
  <c r="M21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Hüseyin Yücel</author>
  </authors>
  <commentList>
    <comment ref="U5" authorId="0" shapeId="0" xr:uid="{05B9CC8E-0B69-4EE6-86F4-E4427F9C8BF4}">
      <text>
        <r>
          <rPr>
            <b/>
            <sz val="9"/>
            <color indexed="81"/>
            <rFont val="Tahoma"/>
            <charset val="1"/>
          </rPr>
          <t>Hüseyin Yücel:</t>
        </r>
        <r>
          <rPr>
            <sz val="9"/>
            <color indexed="81"/>
            <rFont val="Tahoma"/>
            <charset val="1"/>
          </rPr>
          <t xml:space="preserve">
Kaynak: data sayfası, lufercan@gmail.com Mayıs 2026: sip.1218 (80.749,64) + 1201 (75.651,60) + 1194 (62.929,44). Önceki değer 1218'i atlıyordu.</t>
        </r>
      </text>
    </comment>
    <comment ref="U10" authorId="0" shapeId="0" xr:uid="{59C2EEC1-9EDC-4EF1-9777-8F54047BA62B}">
      <text>
        <r>
          <rPr>
            <b/>
            <sz val="9"/>
            <color indexed="81"/>
            <rFont val="Tahoma"/>
            <charset val="1"/>
          </rPr>
          <t>Hüseyin Yücel:</t>
        </r>
        <r>
          <rPr>
            <sz val="9"/>
            <color indexed="81"/>
            <rFont val="Tahoma"/>
            <charset val="1"/>
          </rPr>
          <t xml:space="preserve">
Kaynak: data sayfası, mimarsinan@gmail.com sip.1216, 28.05.2026, durum Gönderildi.</t>
        </r>
      </text>
    </comment>
    <comment ref="U11" authorId="0" shapeId="0" xr:uid="{F8510C65-3D45-4748-BCEA-129A8AF6EF05}">
      <text>
        <r>
          <rPr>
            <b/>
            <sz val="9"/>
            <color indexed="81"/>
            <rFont val="Tahoma"/>
            <charset val="1"/>
          </rPr>
          <t>Hüseyin Yücel:</t>
        </r>
        <r>
          <rPr>
            <sz val="9"/>
            <color indexed="81"/>
            <rFont val="Tahoma"/>
            <charset val="1"/>
          </rPr>
          <t xml:space="preserve">
Kaynak: data sayfası, zaferkiyca@gmail.com sip.1217, 28.05.2026.</t>
        </r>
      </text>
    </comment>
    <comment ref="U14" authorId="0" shapeId="0" xr:uid="{C926F3C5-B7B5-4DC9-96F3-96324D090DBA}">
      <text>
        <r>
          <rPr>
            <b/>
            <sz val="9"/>
            <color indexed="81"/>
            <rFont val="Tahoma"/>
            <charset val="1"/>
          </rPr>
          <t>Hüseyin Yücel:</t>
        </r>
        <r>
          <rPr>
            <sz val="9"/>
            <color indexed="81"/>
            <rFont val="Tahoma"/>
            <charset val="1"/>
          </rPr>
          <t xml:space="preserve">
data sip.1206 İptal Edildi. İptal hariç mantığıyla geçerli Mayıs siparişi yok. Önceki ₺23.423,08 iptal siparişe aitti.</t>
        </r>
      </text>
    </comment>
    <comment ref="U84" authorId="0" shapeId="0" xr:uid="{3AEB857A-A0A4-45A3-AFC4-EBF701C7F875}">
      <text>
        <r>
          <rPr>
            <b/>
            <sz val="9"/>
            <color indexed="81"/>
            <rFont val="Tahoma"/>
            <charset val="1"/>
          </rPr>
          <t>Hüseyin Yücel:</t>
        </r>
        <r>
          <rPr>
            <sz val="9"/>
            <color indexed="81"/>
            <rFont val="Tahoma"/>
            <charset val="1"/>
          </rPr>
          <t xml:space="preserve">
Kaynak: data sayfası, 05426681017nida@gmail.com sip.1213, 19.05.2026, ₺51.442,77.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Hüseyin Yücel</author>
  </authors>
  <commentList>
    <comment ref="D29" authorId="0" shapeId="0" xr:uid="{F4522B13-C244-43B2-98AF-0A930DDF5EAE}">
      <text>
        <r>
          <rPr>
            <b/>
            <sz val="9"/>
            <color indexed="81"/>
            <rFont val="Tahoma"/>
            <charset val="1"/>
          </rPr>
          <t>Hüseyin Yücel:</t>
        </r>
        <r>
          <rPr>
            <sz val="9"/>
            <color indexed="81"/>
            <rFont val="Tahoma"/>
            <charset val="1"/>
          </rPr>
          <t xml:space="preserve">
Kaynak: data sayfası, Mayıs 2026 tüm siparişlerin Toplam (P) sütunu, İptal Edildi durumundakiler (1206, 1202) hariç. 27 sipariş.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Hüseyin Yücel</author>
  </authors>
  <commentList>
    <comment ref="B22" authorId="0" shapeId="0" xr:uid="{BBC96AB7-0D87-42AF-A5DF-905F5DB3490D}">
      <text>
        <r>
          <rPr>
            <b/>
            <sz val="9"/>
            <color indexed="81"/>
            <rFont val="Tahoma"/>
            <charset val="1"/>
          </rPr>
          <t>Hüseyin Yücel:</t>
        </r>
        <r>
          <rPr>
            <sz val="9"/>
            <color indexed="81"/>
            <rFont val="Tahoma"/>
            <charset val="1"/>
          </rPr>
          <t xml:space="preserve">
Kaynak: data sayfası, Mayıs 2026 tüm siparişlerin Toplam (P) sütunu, İptal Edildi (1206, 1202) hariç. 27 sipariş.</t>
        </r>
      </text>
    </comment>
  </commentList>
</comments>
</file>

<file path=xl/sharedStrings.xml><?xml version="1.0" encoding="utf-8"?>
<sst xmlns="http://schemas.openxmlformats.org/spreadsheetml/2006/main" count="16569" uniqueCount="2627">
  <si>
    <t>MezzeMarin CRM Takip Tablosu</t>
  </si>
  <si>
    <t>Daha Önce Sipariş Var mı? (E/H)</t>
  </si>
  <si>
    <t>Nisan Siparişi Verdi mi? (E/H)</t>
  </si>
  <si>
    <t>Nisan Sipariş Tutarı (TL)</t>
  </si>
  <si>
    <t>Mayıs Siparişi Verdi mi? (E/H)</t>
  </si>
  <si>
    <t>Mayıs Sipariş Tutarı (TL)</t>
  </si>
  <si>
    <t>Ad Soyad</t>
  </si>
  <si>
    <t>3</t>
  </si>
  <si>
    <t>E-posta</t>
  </si>
  <si>
    <t>Kaçıncı Alışverişi</t>
  </si>
  <si>
    <t>Durum</t>
  </si>
  <si>
    <t>Aranacak mı?</t>
  </si>
  <si>
    <t>Arandı mı?</t>
  </si>
  <si>
    <t>Son Arama Tarihi</t>
  </si>
  <si>
    <t>Kupon Gönderildi mi?</t>
  </si>
  <si>
    <t>CRM Türü</t>
  </si>
  <si>
    <t>Kupon Kodu</t>
  </si>
  <si>
    <t>Kupon Gönderim Tarihi</t>
  </si>
  <si>
    <t>Kupon Bitiş Tarihi</t>
  </si>
  <si>
    <t>Son Sipariş Tarihi</t>
  </si>
  <si>
    <t>Not</t>
  </si>
  <si>
    <t>CRM Güncellenme Tarihi</t>
  </si>
  <si>
    <t>Nesrin Çetinay</t>
  </si>
  <si>
    <t>nesrincetinay26@hotmail.com</t>
  </si>
  <si>
    <t>1. alışveriş</t>
  </si>
  <si>
    <t>Aktif</t>
  </si>
  <si>
    <t>Evet</t>
  </si>
  <si>
    <t>Hoşgeldin</t>
  </si>
  <si>
    <t>otomatik sepette</t>
  </si>
  <si>
    <t>08.05.2026</t>
  </si>
  <si>
    <t>H</t>
  </si>
  <si>
    <t>E</t>
  </si>
  <si>
    <t>can hoşgör</t>
  </si>
  <si>
    <t>+905332737318</t>
  </si>
  <si>
    <t>lufercan@gmail.com</t>
  </si>
  <si>
    <t>11. alışveriş</t>
  </si>
  <si>
    <t>Sadakat</t>
  </si>
  <si>
    <t>sepette %10</t>
  </si>
  <si>
    <t>TÜM ZAMANLAR - 10% yolladık</t>
  </si>
  <si>
    <t>UĞUR MURAT</t>
  </si>
  <si>
    <t>+905339506790</t>
  </si>
  <si>
    <t>m.karacan1991@hotmail.com</t>
  </si>
  <si>
    <t>2. alışveriş</t>
  </si>
  <si>
    <t>Ilker Karaalp</t>
  </si>
  <si>
    <t>+905322006653</t>
  </si>
  <si>
    <t>ilkerkaraalp@gmail.com</t>
  </si>
  <si>
    <t>6. alışveriş</t>
  </si>
  <si>
    <t xml:space="preserve"> </t>
  </si>
  <si>
    <t>Batuhan Doyuran</t>
  </si>
  <si>
    <t>+905553792233</t>
  </si>
  <si>
    <t>bahadir__aydin@hotmail.com</t>
  </si>
  <si>
    <t>Esra Koniçe</t>
  </si>
  <si>
    <t>+905332588735</t>
  </si>
  <si>
    <t>dumerrestoran@gmail.com</t>
  </si>
  <si>
    <t>Nerdesin</t>
  </si>
  <si>
    <t>esra5</t>
  </si>
  <si>
    <t>Sinan Karaca</t>
  </si>
  <si>
    <t>+905333819273</t>
  </si>
  <si>
    <t>mimarsinan@gmail.com</t>
  </si>
  <si>
    <t>4. alışveriş</t>
  </si>
  <si>
    <t>Tuğba Akgül</t>
  </si>
  <si>
    <t>+905056756481</t>
  </si>
  <si>
    <t>zaferkiyca@gmail.com</t>
  </si>
  <si>
    <t>3. alışveriş</t>
  </si>
  <si>
    <t>Emre Can Güler</t>
  </si>
  <si>
    <t>+905396552911</t>
  </si>
  <si>
    <t>carettabolu14@gmail.com</t>
  </si>
  <si>
    <t>2 farklı mail: cm.tprk67 (sip.1184) + carettabolu14 (sip.1120)</t>
  </si>
  <si>
    <t>BARIŞ AKTAŞ</t>
  </si>
  <si>
    <t>+905326643317</t>
  </si>
  <si>
    <t>davutbatal@hotmail.com</t>
  </si>
  <si>
    <t>baris5</t>
  </si>
  <si>
    <t>Emre Süvari</t>
  </si>
  <si>
    <t>+905557186559</t>
  </si>
  <si>
    <t>cinakopsarikanat@gmail.com</t>
  </si>
  <si>
    <t>SVİATLANA Bozam</t>
  </si>
  <si>
    <t>+905350436527</t>
  </si>
  <si>
    <t>sveta-vesna19@mail.ru</t>
  </si>
  <si>
    <t>Kahraman Berk</t>
  </si>
  <si>
    <t>+905426985959</t>
  </si>
  <si>
    <t>kh.berk@hotmail.com</t>
  </si>
  <si>
    <t>Demircan Coşkun</t>
  </si>
  <si>
    <t>coskundemircan@gmail.com</t>
  </si>
  <si>
    <t>uğur yıldız</t>
  </si>
  <si>
    <t>+905462850014</t>
  </si>
  <si>
    <t>ugur.yildiz@fantazmagori.com</t>
  </si>
  <si>
    <t>5. alışveriş</t>
  </si>
  <si>
    <t>aranacak</t>
  </si>
  <si>
    <t>Emrah İnan</t>
  </si>
  <si>
    <t>+905358134086</t>
  </si>
  <si>
    <t>emrahinan1001@gmail.com</t>
  </si>
  <si>
    <t>Hasan Selçuk</t>
  </si>
  <si>
    <t>+905368262952</t>
  </si>
  <si>
    <t>mahirselcik@hotmail.com</t>
  </si>
  <si>
    <t>4 mayıs Pazartesi günü hatırlatalım, arayalım</t>
  </si>
  <si>
    <t>İbrahim Sert</t>
  </si>
  <si>
    <t>+905322648262</t>
  </si>
  <si>
    <t>ibrahimsert06@gmail.com</t>
  </si>
  <si>
    <t>Ali Can</t>
  </si>
  <si>
    <t>+905322672260</t>
  </si>
  <si>
    <t>cananmutlu60@gmail.com</t>
  </si>
  <si>
    <t>DÜzeltme: Data'da sadece 1 sipariş (1158). Önceki 2 hatalıydı.</t>
  </si>
  <si>
    <t>Örgen Canatan</t>
  </si>
  <si>
    <t>+905383634147</t>
  </si>
  <si>
    <t>ahmetkerim1972@hotmail.com</t>
  </si>
  <si>
    <t>arandı</t>
  </si>
  <si>
    <t>Pınar Enginsu</t>
  </si>
  <si>
    <t>pinarcanko.yoga@gmail.com</t>
  </si>
  <si>
    <t>Necip Mutlu</t>
  </si>
  <si>
    <t>+905332847345</t>
  </si>
  <si>
    <t>necipmutlu78@gmail.com</t>
  </si>
  <si>
    <t>çiğdem bilge</t>
  </si>
  <si>
    <t>+905445181860</t>
  </si>
  <si>
    <t>cigdemaydinbilge@gmail.com</t>
  </si>
  <si>
    <t>AYGÜL KEMERLİ ERSOY</t>
  </si>
  <si>
    <t>+905323142414</t>
  </si>
  <si>
    <t>batuhandoyuran@gmail.com</t>
  </si>
  <si>
    <t>Nihat emre</t>
  </si>
  <si>
    <t>+905444934647</t>
  </si>
  <si>
    <t>bnihatemre@yahoo.com</t>
  </si>
  <si>
    <t>Ayfer Hüdaverdi</t>
  </si>
  <si>
    <t>+905074588335</t>
  </si>
  <si>
    <t>hudaverditurgut35@gmail.com</t>
  </si>
  <si>
    <t>Pasif</t>
  </si>
  <si>
    <t>ayfer5</t>
  </si>
  <si>
    <t xml:space="preserve">Bahadır  AYDIN </t>
  </si>
  <si>
    <t>+905464001010</t>
  </si>
  <si>
    <t>turguthudaverdi35@gmail.com</t>
  </si>
  <si>
    <t>bahadir5</t>
  </si>
  <si>
    <t>Elif Denizaslanı</t>
  </si>
  <si>
    <t>+905369658347</t>
  </si>
  <si>
    <t>doyuranaslihan@gmail.com</t>
  </si>
  <si>
    <t>elif5</t>
  </si>
  <si>
    <t>ENBERİ CAFE</t>
  </si>
  <si>
    <t>+905050764886</t>
  </si>
  <si>
    <t>selahattinkonserve@hotmail.com</t>
  </si>
  <si>
    <t>enberi5</t>
  </si>
  <si>
    <t>DÜzeltme: Data'da 1 sipariş (1073). Önceki 3 hatalıydı. ⚠️ CRM maili yanlış: selahattinkonserve@hotmail.com = AYGÜL KEMERLI ERSOY'un maili. Doğrusu: enbericafe@gmail.com</t>
  </si>
  <si>
    <t>Acar Hünkar Serin</t>
  </si>
  <si>
    <t>+905425859770</t>
  </si>
  <si>
    <t>e.denizaslani@gmail.com</t>
  </si>
  <si>
    <t>acar5</t>
  </si>
  <si>
    <t>AHMET MİRŞAN TETİK TETİK</t>
  </si>
  <si>
    <t>+905366187506</t>
  </si>
  <si>
    <t>enbericafe@gmail.com</t>
  </si>
  <si>
    <t>mirsan5</t>
  </si>
  <si>
    <t>Ali Can Kocabiyikoglu</t>
  </si>
  <si>
    <t>+905302487568</t>
  </si>
  <si>
    <t>acarhunkarserin@yahoo.com</t>
  </si>
  <si>
    <t>alican5</t>
  </si>
  <si>
    <t>Ahmet Atakan Doğan</t>
  </si>
  <si>
    <t>+905423116642</t>
  </si>
  <si>
    <t>kayisicenter.com@gmail.com</t>
  </si>
  <si>
    <t>ahmet5</t>
  </si>
  <si>
    <t>ERSOY ÇANAKKALE</t>
  </si>
  <si>
    <t>+905412121465</t>
  </si>
  <si>
    <t>alicankocabiyikoglu@gmail.com</t>
  </si>
  <si>
    <t>ersoy5</t>
  </si>
  <si>
    <t>DUMER RESTORAN</t>
  </si>
  <si>
    <t>+905344905566</t>
  </si>
  <si>
    <t>ozturkpeynircilik@gmail.com</t>
  </si>
  <si>
    <t>dumer5</t>
  </si>
  <si>
    <t>Burak Biçer</t>
  </si>
  <si>
    <t>05616132007</t>
  </si>
  <si>
    <t>ersoy@ersoygida.com</t>
  </si>
  <si>
    <t>burak5</t>
  </si>
  <si>
    <t>Ali Koç</t>
  </si>
  <si>
    <t>+905057899281</t>
  </si>
  <si>
    <t>burakbb61@icloud.com</t>
  </si>
  <si>
    <t>ali5</t>
  </si>
  <si>
    <t>Davut Batal</t>
  </si>
  <si>
    <t>+905322953108</t>
  </si>
  <si>
    <t>bostanliocakbasi35@gmail.com</t>
  </si>
  <si>
    <t>davut5</t>
  </si>
  <si>
    <t>DÜzeltme: Data'da sadece 1 sipariş (1026). Önceki 2 hatalıydı.</t>
  </si>
  <si>
    <t>Fatih Ulcay</t>
  </si>
  <si>
    <t>+905388416595</t>
  </si>
  <si>
    <t>oflualikoc1974@gmail.com</t>
  </si>
  <si>
    <t>fatih5</t>
  </si>
  <si>
    <t>Yeşim Unugur</t>
  </si>
  <si>
    <t>+905332438666</t>
  </si>
  <si>
    <t>unugur@gmail.com</t>
  </si>
  <si>
    <t>DÜzeltme: Data'da sadece 1 sipariş (1149). Önceki 8 hatalıydı.</t>
  </si>
  <si>
    <t>ADNAN ÖZCAN</t>
  </si>
  <si>
    <t>+905331512970</t>
  </si>
  <si>
    <t>adnozc@gmail.com</t>
  </si>
  <si>
    <t>Ammar Al saadi</t>
  </si>
  <si>
    <t>+905457911977</t>
  </si>
  <si>
    <t>ammaralsaade@gmail.com</t>
  </si>
  <si>
    <t>Arslan Tanış</t>
  </si>
  <si>
    <t>+905427267247</t>
  </si>
  <si>
    <t>arslantanis@hotmail.com</t>
  </si>
  <si>
    <t>Aysun Şahin</t>
  </si>
  <si>
    <t>+905053784412</t>
  </si>
  <si>
    <t>hukukcuaysun@hotmail.com</t>
  </si>
  <si>
    <t>Baha  Gürler</t>
  </si>
  <si>
    <t>+905322701098</t>
  </si>
  <si>
    <t>cantopalsoy@icloud.com</t>
  </si>
  <si>
    <t>Bayram  Denk</t>
  </si>
  <si>
    <t>+905316323131</t>
  </si>
  <si>
    <t>bayramdenk@hotmail.com</t>
  </si>
  <si>
    <t>Burhan Pınar</t>
  </si>
  <si>
    <t>+905353387050</t>
  </si>
  <si>
    <t>burhan.pinar90@gmail.com</t>
  </si>
  <si>
    <t>ERSİN UTGUN</t>
  </si>
  <si>
    <t>+905354772784</t>
  </si>
  <si>
    <t>medusaaparthotel@gmail.com</t>
  </si>
  <si>
    <t>Ahd Douma</t>
  </si>
  <si>
    <t>+905319915961</t>
  </si>
  <si>
    <t>ahdmostafa4@gmail.com</t>
  </si>
  <si>
    <t>Hepsi Meze</t>
  </si>
  <si>
    <t>+905533577768</t>
  </si>
  <si>
    <t>ugurcan.sarkuteri@gmail.com</t>
  </si>
  <si>
    <t>Tuğba  Semiz</t>
  </si>
  <si>
    <t>+905383736846</t>
  </si>
  <si>
    <t>kurtulustugba@hotmail.com</t>
  </si>
  <si>
    <t>Kemal Kaymak</t>
  </si>
  <si>
    <t>+905355860267</t>
  </si>
  <si>
    <t>kkaymak@gmail.com</t>
  </si>
  <si>
    <t>25.000TL ve Üstüne %5</t>
  </si>
  <si>
    <t>SEPETTE %5</t>
  </si>
  <si>
    <t>08.06.2026</t>
  </si>
  <si>
    <t>Kübra Kahramanöz</t>
  </si>
  <si>
    <t>+905418962824</t>
  </si>
  <si>
    <t>kubrakahramanoz@outlook.com.tr</t>
  </si>
  <si>
    <t>Leyla Sivaslıoglu</t>
  </si>
  <si>
    <t>+905310333949</t>
  </si>
  <si>
    <t>l.sivaslioglu5716@gmail.com</t>
  </si>
  <si>
    <t>MASTERS UNLU MAMÜLLER GIDA TICARET LTD. ŞTİ.</t>
  </si>
  <si>
    <t>+905433421652</t>
  </si>
  <si>
    <t>leticiauskudar24@gmail.com</t>
  </si>
  <si>
    <t>MEHMET FİDAN</t>
  </si>
  <si>
    <t>+905364241093</t>
  </si>
  <si>
    <t>mehmetfidan-3@hotmail.com</t>
  </si>
  <si>
    <t>MUHTEŞEM ÜNSAL</t>
  </si>
  <si>
    <t>+905354944192</t>
  </si>
  <si>
    <t>frkngencc@gmail.com</t>
  </si>
  <si>
    <t>Mecit Kamil SARAÇOĞLU</t>
  </si>
  <si>
    <t>+905326115346</t>
  </si>
  <si>
    <t>mecitkamil@gmail.com</t>
  </si>
  <si>
    <t>Mehmet Kocaoğlangil</t>
  </si>
  <si>
    <t>+905424252656</t>
  </si>
  <si>
    <t>kocaoglangil@hotmail.com</t>
  </si>
  <si>
    <t>Murat Altaş</t>
  </si>
  <si>
    <t>+905415047011</t>
  </si>
  <si>
    <t>vet_altas@hotmail.com</t>
  </si>
  <si>
    <t>Murat Şeker</t>
  </si>
  <si>
    <t>+905379597799</t>
  </si>
  <si>
    <t>murat545854@hotmail.com</t>
  </si>
  <si>
    <t>Mustafa Aytaç</t>
  </si>
  <si>
    <t>+905335770497</t>
  </si>
  <si>
    <t>mustafa.aytac@gmail.com</t>
  </si>
  <si>
    <t>Mustafa Demirel</t>
  </si>
  <si>
    <t>+905301144013</t>
  </si>
  <si>
    <t>ortancaozturk03@gmail.com</t>
  </si>
  <si>
    <t>Mustafa Kocagöz</t>
  </si>
  <si>
    <t>+905062849565</t>
  </si>
  <si>
    <t>mrkocagoz@gmail.com</t>
  </si>
  <si>
    <t>Mustafa Özkan</t>
  </si>
  <si>
    <t>+905395923965</t>
  </si>
  <si>
    <t>doktormusti79@gmail.com</t>
  </si>
  <si>
    <t>Mustafa Ünal</t>
  </si>
  <si>
    <t>+905495484233</t>
  </si>
  <si>
    <t>takkelibalik@gmail.com</t>
  </si>
  <si>
    <t>Mümtaz  Uysal</t>
  </si>
  <si>
    <t>+905332684780</t>
  </si>
  <si>
    <t>asendag94@icloud.com</t>
  </si>
  <si>
    <t>Satır 74 ile aynı müşteri (mmmtazuysal@hotmail.com)</t>
  </si>
  <si>
    <t>Nazmi Yürük</t>
  </si>
  <si>
    <t>+905326023397</t>
  </si>
  <si>
    <t>piabalik51@gmail.com</t>
  </si>
  <si>
    <t>Necati Turşucu</t>
  </si>
  <si>
    <t>+905448455995</t>
  </si>
  <si>
    <t>emre.aricii369@gmail.com</t>
  </si>
  <si>
    <t>Nihat Yurt</t>
  </si>
  <si>
    <t>+905076082861</t>
  </si>
  <si>
    <t>yurttsunami@gmail.com</t>
  </si>
  <si>
    <t>Olga Sarica</t>
  </si>
  <si>
    <t>+905423433802</t>
  </si>
  <si>
    <t>zavarka76@hotmail.com</t>
  </si>
  <si>
    <t>Pakize Tiryaki</t>
  </si>
  <si>
    <t>+905550080874</t>
  </si>
  <si>
    <t>pakizekeskin85@gmail.com</t>
  </si>
  <si>
    <t>Recep Taşçi</t>
  </si>
  <si>
    <t>+905327382876</t>
  </si>
  <si>
    <t>tascirecep@hotmail.com</t>
  </si>
  <si>
    <t>SEVDA NUR CAN</t>
  </si>
  <si>
    <t>+905327162897</t>
  </si>
  <si>
    <t>sevda.nur101@hotmail.com</t>
  </si>
  <si>
    <t>Naci Onur  GÜRSOY</t>
  </si>
  <si>
    <t>+905326472867</t>
  </si>
  <si>
    <t>gursoyonur85@gmail.com</t>
  </si>
  <si>
    <t>Sadık Ünal</t>
  </si>
  <si>
    <t>+905496128037</t>
  </si>
  <si>
    <t>sadikunal2000@yahoo.com</t>
  </si>
  <si>
    <t>Seherin Mutfağı</t>
  </si>
  <si>
    <t>+905322564889</t>
  </si>
  <si>
    <t>mehmet555sahin@gmail.com</t>
  </si>
  <si>
    <t>Selim Yavuz</t>
  </si>
  <si>
    <t>+905350491435</t>
  </si>
  <si>
    <t>hatice.askin@live.de</t>
  </si>
  <si>
    <t>Sezai Şenel</t>
  </si>
  <si>
    <t>+905357364898</t>
  </si>
  <si>
    <t>sezar_eses@hotmail.com</t>
  </si>
  <si>
    <t>KEMAL EREN HOŞGÖR</t>
  </si>
  <si>
    <t>+905317670103</t>
  </si>
  <si>
    <t>kemalerenhosgor@hotmail.com</t>
  </si>
  <si>
    <t>Suna Uğurlu</t>
  </si>
  <si>
    <t>+905426681017</t>
  </si>
  <si>
    <t>05426681017nida@gmail.com</t>
  </si>
  <si>
    <t>Satır 87 ile aynı müşteri (zeynepnida66@gmail.com)</t>
  </si>
  <si>
    <t>Vedat Çelik</t>
  </si>
  <si>
    <t>+905066289514</t>
  </si>
  <si>
    <t>vedat.celik2011@icloud.com</t>
  </si>
  <si>
    <t>Volkan  Kaplan</t>
  </si>
  <si>
    <t>+905322247335</t>
  </si>
  <si>
    <t>info@ciftliket.com.tr</t>
  </si>
  <si>
    <t>YILMAZ BURAK ŞANLI</t>
  </si>
  <si>
    <t>+905058088010</t>
  </si>
  <si>
    <t>yilmazburaksanli@gmail.com</t>
  </si>
  <si>
    <t>Yasemin Yayla</t>
  </si>
  <si>
    <t>+905414602743</t>
  </si>
  <si>
    <t>yaseminyayla2024@gmail.com</t>
  </si>
  <si>
    <t>Yun chia Aydin</t>
  </si>
  <si>
    <t>+905070497688</t>
  </si>
  <si>
    <t>yunchia0713@gmail.com</t>
  </si>
  <si>
    <t>Yusuf Lurci</t>
  </si>
  <si>
    <t>+905438558014</t>
  </si>
  <si>
    <t>yusuf@jashistanbul.com</t>
  </si>
  <si>
    <t>alibey köse</t>
  </si>
  <si>
    <t>+905447924128</t>
  </si>
  <si>
    <t>alibeykose@gmail.com</t>
  </si>
  <si>
    <t>dilan alışkan</t>
  </si>
  <si>
    <t>+905316443050</t>
  </si>
  <si>
    <t>dilanaliskan00@gmail.com</t>
  </si>
  <si>
    <t>gökçe asena</t>
  </si>
  <si>
    <t>+905079366238</t>
  </si>
  <si>
    <t>gokcealtinbay@gmail.com</t>
  </si>
  <si>
    <t>hülya çevre</t>
  </si>
  <si>
    <t>+905434845185</t>
  </si>
  <si>
    <t>hulyacevre0@gmail.com</t>
  </si>
  <si>
    <t>ismail yıldız</t>
  </si>
  <si>
    <t>+905417931225</t>
  </si>
  <si>
    <t>a.yildiz0158@outlook.com</t>
  </si>
  <si>
    <t>DÜzeltme: Data'da 2 sipariş (1032, 1035). Önceki 1 hatalıydı.</t>
  </si>
  <si>
    <t>muharrem tımışkı</t>
  </si>
  <si>
    <t>+905422893588</t>
  </si>
  <si>
    <t>muharremtmsk@gmail.com</t>
  </si>
  <si>
    <t>Satır 64 ile aynı müşteri (nezihatimiski@gmail.com)</t>
  </si>
  <si>
    <t>murat kuşcu</t>
  </si>
  <si>
    <t>+905544168713</t>
  </si>
  <si>
    <t>skaagjompear@hotmail.com</t>
  </si>
  <si>
    <t>oben cankardaş</t>
  </si>
  <si>
    <t>halimkirkagacli@gmail.com</t>
  </si>
  <si>
    <t>Mustafa Karalar</t>
  </si>
  <si>
    <t>mustafakaralar07@gmail.com</t>
  </si>
  <si>
    <t>YENİ MÜŞTERİ</t>
  </si>
  <si>
    <t>Can Comert</t>
  </si>
  <si>
    <t>cancomertfotograf@gmail.com</t>
  </si>
  <si>
    <t>fatih odabaşı</t>
  </si>
  <si>
    <t>odabasiekin@gmail.com</t>
  </si>
  <si>
    <t>Yekaterina Karayildiz</t>
  </si>
  <si>
    <t>905454810202</t>
  </si>
  <si>
    <t>mezecan02@gmail.com</t>
  </si>
  <si>
    <t>Satır 25 ile aynı müşteri (katerinan666@gmail.com)</t>
  </si>
  <si>
    <t>Özgür Erbil</t>
  </si>
  <si>
    <t>antalyavaruna@gmail.com</t>
  </si>
  <si>
    <t>Mustafa Akdemir</t>
  </si>
  <si>
    <t>+905518516210</t>
  </si>
  <si>
    <t>balatsahilrestoran@gmail.com</t>
  </si>
  <si>
    <t>0. alışveriş</t>
  </si>
  <si>
    <t>Görselde Toplam Sipariş 0 - henüz sipariş yok</t>
  </si>
  <si>
    <t>Çağrı Çatak</t>
  </si>
  <si>
    <t>cagricatak@gmail.com</t>
  </si>
  <si>
    <t>cm.tprk67@gmail.com</t>
  </si>
  <si>
    <t>asmali.cafe@hotmail.com</t>
  </si>
  <si>
    <t>İSMAİL YILDIZ</t>
  </si>
  <si>
    <t>internettinhoca01@hotmail.com</t>
  </si>
  <si>
    <t xml:space="preserve">Nazlı  Chatkaek </t>
  </si>
  <si>
    <t>tom1941@live.com</t>
  </si>
  <si>
    <t>Yekaterına Karayildiz</t>
  </si>
  <si>
    <t>katerinan666@gmail.com</t>
  </si>
  <si>
    <t>Zeliha Eren</t>
  </si>
  <si>
    <t>zelihaeren@gmail.com</t>
  </si>
  <si>
    <t>serhat sütçüoğlu</t>
  </si>
  <si>
    <t>serhatsutcuoglu@hotmail.com</t>
  </si>
  <si>
    <t>İDİL AYVALIKLI KARTOĞLU</t>
  </si>
  <si>
    <t>idilayvalikli@gmail.com</t>
  </si>
  <si>
    <t>umut eşki</t>
  </si>
  <si>
    <t>umuteski@hotmail.com</t>
  </si>
  <si>
    <t xml:space="preserve">Ömer Alper  Özsoy </t>
  </si>
  <si>
    <t>omeralperozsoy@yahoo.com</t>
  </si>
  <si>
    <t>ulaş işibol</t>
  </si>
  <si>
    <t>ulasisbl@gmail.com</t>
  </si>
  <si>
    <t>Ulaş İşibol</t>
  </si>
  <si>
    <t>ulasisibol@gmail.com</t>
  </si>
  <si>
    <t>zafer özkara</t>
  </si>
  <si>
    <t>zafer.ozkara@hotmail.com</t>
  </si>
  <si>
    <t>İnan SOYER</t>
  </si>
  <si>
    <t>isoyer2000@gmail.com</t>
  </si>
  <si>
    <t>zeynepnida66@gmail.com</t>
  </si>
  <si>
    <t>Muharrem Tımışkı</t>
  </si>
  <si>
    <t>nezihatimiski@gmail.com</t>
  </si>
  <si>
    <t>deepblack88@gmail.com</t>
  </si>
  <si>
    <t>prenses_kizlarim@hotmail.com</t>
  </si>
  <si>
    <t>Mümtaz Uysal</t>
  </si>
  <si>
    <t>mmmtazuysal@hotmail.com</t>
  </si>
  <si>
    <t>asd asd</t>
  </si>
  <si>
    <t>adasdmin@gmail.com</t>
  </si>
  <si>
    <t>hüseyin yücel</t>
  </si>
  <si>
    <t>hyucelbilisim@gmail.com</t>
  </si>
  <si>
    <t>deneme deneme</t>
  </si>
  <si>
    <t>deneme@gmail.com</t>
  </si>
  <si>
    <t>huseyinyucel@pakyurek.com</t>
  </si>
  <si>
    <t>7. alışveriş</t>
  </si>
  <si>
    <t>Kullanım Notu</t>
  </si>
  <si>
    <t>Her müşteri tek satır olacak. Durum ve Aranacak mı? sütunlarını filtreleyerek çalış.</t>
  </si>
  <si>
    <t>MART</t>
  </si>
  <si>
    <t>Müşteri</t>
  </si>
  <si>
    <t>KAMPANYA</t>
  </si>
  <si>
    <t>İNDİRİM MİKTARI</t>
  </si>
  <si>
    <t>İNDİRİM TUTAR</t>
  </si>
  <si>
    <t xml:space="preserve">su ürünleri salatası 200g gönderildi ekstra </t>
  </si>
  <si>
    <t>₺ 2,301.60</t>
  </si>
  <si>
    <t>MART AYI ONLİNE CİRO: ₺ 353,598.89 İNDİRİMİN CİROYA ETKİSİ: %0,65</t>
  </si>
  <si>
    <t>NİSAN</t>
  </si>
  <si>
    <t>Sepette %10 indirim</t>
  </si>
  <si>
    <t>₺ 6,107.92</t>
  </si>
  <si>
    <t>₺ 4,987.50</t>
  </si>
  <si>
    <t>1.500 ₺ sabit indirim</t>
  </si>
  <si>
    <t>₺ 1,500.00</t>
  </si>
  <si>
    <t>Sepette %5 indirim</t>
  </si>
  <si>
    <t>₺ 1,081.01</t>
  </si>
  <si>
    <t>₺ 1,164.24</t>
  </si>
  <si>
    <t>Enginar Kalbı ürün indirimi</t>
  </si>
  <si>
    <t>₺ 2,312.10</t>
  </si>
  <si>
    <t>NİSAN AYI ONLİNE CİRO: ₺ 673,100.43 İNDİRİMİN CİROYA ETKİSİ: %2.55</t>
  </si>
  <si>
    <t>MAYIS</t>
  </si>
  <si>
    <t>Sipariş No</t>
  </si>
  <si>
    <t>İNDİRİM TÜRÜ</t>
  </si>
  <si>
    <t>SİPARİŞ TUTARI</t>
  </si>
  <si>
    <t>KAMPANYA İNDİRİMİ</t>
  </si>
  <si>
    <t>ÖDENEN TOPLAM</t>
  </si>
  <si>
    <t>₺ 61,079.20</t>
  </si>
  <si>
    <t>₺ 54,971.28</t>
  </si>
  <si>
    <t>₺ 49,875.00</t>
  </si>
  <si>
    <t>₺ 44,887.50</t>
  </si>
  <si>
    <t>₺ 55,580.00</t>
  </si>
  <si>
    <t>₺ 54,080.00</t>
  </si>
  <si>
    <t>₺ 21,620.20</t>
  </si>
  <si>
    <t>₺ 20,539.19</t>
  </si>
  <si>
    <t>Ürün indirimi (Enginar Kalbı)</t>
  </si>
  <si>
    <t>₺ 27,933.50</t>
  </si>
  <si>
    <t>₺ 23,284.80</t>
  </si>
  <si>
    <t>₺ 22,120.56</t>
  </si>
  <si>
    <t>NİSAN AYI ONLİNE CİRO: ₺ 673,100.43 KAMPANYALI SİPARİŞLERİN CİROYA ETKİSİ: %35.56 (₺ 239,372.70)</t>
  </si>
  <si>
    <t>Sipariş Numarası</t>
  </si>
  <si>
    <t>Müşteri Tam Adı</t>
  </si>
  <si>
    <t>Müşteri Adı</t>
  </si>
  <si>
    <t>Müşteri Soyadı</t>
  </si>
  <si>
    <t>Müşteri Sipariş Sayısı</t>
  </si>
  <si>
    <t>Sipariş Ödeme Durumu</t>
  </si>
  <si>
    <t>Sipariş Tarihi</t>
  </si>
  <si>
    <t>Sipariş Durumu</t>
  </si>
  <si>
    <t>Kur</t>
  </si>
  <si>
    <t>Ara Toplam</t>
  </si>
  <si>
    <t>Kargo Fiyatı</t>
  </si>
  <si>
    <t>Kargo Yöntemi</t>
  </si>
  <si>
    <t>Kargo Türü</t>
  </si>
  <si>
    <t>Vergiler</t>
  </si>
  <si>
    <t>Toplam</t>
  </si>
  <si>
    <t>Kampanya Toplamı</t>
  </si>
  <si>
    <t>Oluşturulma Tarihi</t>
  </si>
  <si>
    <t>Ürün Sayısı</t>
  </si>
  <si>
    <t>Ürün Adı</t>
  </si>
  <si>
    <t>Ürün Marka</t>
  </si>
  <si>
    <t>Ürün Satış Fiyatı</t>
  </si>
  <si>
    <t>Ürün İlk Fiyatı</t>
  </si>
  <si>
    <t>Ürün İndirim Fiyatı</t>
  </si>
  <si>
    <t>Ürün Alış Fiyatı</t>
  </si>
  <si>
    <t>Ürün SKU</t>
  </si>
  <si>
    <t>Ürün Barkod</t>
  </si>
  <si>
    <t>Ürün Durumu</t>
  </si>
  <si>
    <t>Ürün Stok Lokasyonu ID</t>
  </si>
  <si>
    <t>Ürün Stok Lokasyonu Adı</t>
  </si>
  <si>
    <t>Fatura Adresi Adı</t>
  </si>
  <si>
    <t>Fatura Adresi 1</t>
  </si>
  <si>
    <t>Fatura Adresi 2</t>
  </si>
  <si>
    <t>Fatura Adres Şirketi</t>
  </si>
  <si>
    <t>Fatura Adresi Şehir</t>
  </si>
  <si>
    <t>Fatura Adresi Posta Kodu</t>
  </si>
  <si>
    <t>Fatura Adresi Eyalet</t>
  </si>
  <si>
    <t>Fatura Adresi Bölge</t>
  </si>
  <si>
    <t>Fatura Adresi İlçe</t>
  </si>
  <si>
    <t>Fatura Adresi Ülke</t>
  </si>
  <si>
    <t>Fatura Adresi Telefon Numarası</t>
  </si>
  <si>
    <t>Fatura Adresi Vergi Numarası</t>
  </si>
  <si>
    <t>Fatura Adresi Vergi Dairesi</t>
  </si>
  <si>
    <t>Fatura Adresi TC Kimlik No</t>
  </si>
  <si>
    <t>Kargo Adresi Adı</t>
  </si>
  <si>
    <t>Kargo Adresi 1</t>
  </si>
  <si>
    <t>Kargo Adresi 2</t>
  </si>
  <si>
    <t>Kargo Adres Şirketi</t>
  </si>
  <si>
    <t>Kargo Adresi Şehir</t>
  </si>
  <si>
    <t>Kargo Adresi Posta Kodu</t>
  </si>
  <si>
    <t>Kargo Adresi Eyalet</t>
  </si>
  <si>
    <t>Kargo Adresi Bölge</t>
  </si>
  <si>
    <t>Kargo Adresi İlçe</t>
  </si>
  <si>
    <t>Kargo Adresi Ülke</t>
  </si>
  <si>
    <t>Kargo Adresi Telefon Numarası</t>
  </si>
  <si>
    <t>Kargo Adresi TC Kimlik No</t>
  </si>
  <si>
    <t>Hediye Notu</t>
  </si>
  <si>
    <t>İptal Tarihi</t>
  </si>
  <si>
    <t>Ödeme Yöntemi</t>
  </si>
  <si>
    <t>Ödeme Yöntemi Kodu</t>
  </si>
  <si>
    <t>İade Tutarı</t>
  </si>
  <si>
    <t>Etiketler</t>
  </si>
  <si>
    <t>Satış Kanalı</t>
  </si>
  <si>
    <t>ID</t>
  </si>
  <si>
    <t>Vergi Adı 1</t>
  </si>
  <si>
    <t>Vergi Değeri 1</t>
  </si>
  <si>
    <t>Vergi Adı 2</t>
  </si>
  <si>
    <t>Vergi Değeri 2</t>
  </si>
  <si>
    <t>Oturum Süresi</t>
  </si>
  <si>
    <t>Yönlendiren</t>
  </si>
  <si>
    <t>Trafik Kaynağı</t>
  </si>
  <si>
    <t>Trafik Türü</t>
  </si>
  <si>
    <t>Cihaz Türü</t>
  </si>
  <si>
    <t>Tarayıcı</t>
  </si>
  <si>
    <t>İşletim Sistemi</t>
  </si>
  <si>
    <t>utm_campaign</t>
  </si>
  <si>
    <t>utm_content</t>
  </si>
  <si>
    <t>utm_medium</t>
  </si>
  <si>
    <t>utm_source</t>
  </si>
  <si>
    <t>utm_term</t>
  </si>
  <si>
    <t>Fatura Numarası</t>
  </si>
  <si>
    <t>1202</t>
  </si>
  <si>
    <t>Ilker</t>
  </si>
  <si>
    <t>Karaalp</t>
  </si>
  <si>
    <t>Ödendi</t>
  </si>
  <si>
    <t>2026-05-08 02:49</t>
  </si>
  <si>
    <t>Oluşturuldu</t>
  </si>
  <si>
    <t>TRY</t>
  </si>
  <si>
    <t>Ücretli Kargo</t>
  </si>
  <si>
    <t>Kargoda</t>
  </si>
  <si>
    <t>2026-05-05 17:44</t>
  </si>
  <si>
    <t>Marine Ahtapot Salatası 200 Gr.</t>
  </si>
  <si>
    <t>mezzeMarin</t>
  </si>
  <si>
    <t>1.20.01.07.0200</t>
  </si>
  <si>
    <t/>
  </si>
  <si>
    <t>6af1b120-e96f-405b-ba61-397d69a04ed4</t>
  </si>
  <si>
    <t>Ana Depo</t>
  </si>
  <si>
    <t>İlker karaalp</t>
  </si>
  <si>
    <t>Cumhuriyet bulvarı 117. sokak no 1</t>
  </si>
  <si>
    <t>Balıkesir</t>
  </si>
  <si>
    <t>10300</t>
  </si>
  <si>
    <t>Default</t>
  </si>
  <si>
    <t>Edremit</t>
  </si>
  <si>
    <t>Türkiye</t>
  </si>
  <si>
    <t>24388332126</t>
  </si>
  <si>
    <t>Kredi Kartı</t>
  </si>
  <si>
    <t>PayTR</t>
  </si>
  <si>
    <t>pakyurek</t>
  </si>
  <si>
    <t>7157a9e7-63d8-401c-9b59-a753ce02f7bf</t>
  </si>
  <si>
    <t>Somon Dilim(Steak) Donuk-Dökme</t>
  </si>
  <si>
    <t>1.20.07.02.0001</t>
  </si>
  <si>
    <t>1201</t>
  </si>
  <si>
    <t>can</t>
  </si>
  <si>
    <t>hoşgör</t>
  </si>
  <si>
    <t>2026-05-07 23:12</t>
  </si>
  <si>
    <t>Ücretsiz Kargo</t>
  </si>
  <si>
    <t>2026-05-07 23:05</t>
  </si>
  <si>
    <t>Karides Et Donuk 41/50</t>
  </si>
  <si>
    <t>1.20.08.01.0003</t>
  </si>
  <si>
    <t>muallim naci cad no34</t>
  </si>
  <si>
    <t xml:space="preserve">türkiye petrolleri </t>
  </si>
  <si>
    <t>hoşgörler denizcilik turizm gıda tic.ltd.şti.</t>
  </si>
  <si>
    <t>İstanbul</t>
  </si>
  <si>
    <t>34421</t>
  </si>
  <si>
    <t>Beyoğlu</t>
  </si>
  <si>
    <t>4641834788</t>
  </si>
  <si>
    <t>beykoz</t>
  </si>
  <si>
    <t>12263457156</t>
  </si>
  <si>
    <t>f3909316-d3d5-49fa-993d-621f46e75f98</t>
  </si>
  <si>
    <t>Marine Hamsi Soslu 1000 Gr.</t>
  </si>
  <si>
    <t>1.20.01.02.1000</t>
  </si>
  <si>
    <t>Marine Su Ürünleri Salatası 1000 Gr.</t>
  </si>
  <si>
    <t>1.20.01.11.1000</t>
  </si>
  <si>
    <t>Marine Uskumru Füme Çiroz 1000 Gr.</t>
  </si>
  <si>
    <t>1.20.01.06.1000</t>
  </si>
  <si>
    <t>1200</t>
  </si>
  <si>
    <t>Nihat</t>
  </si>
  <si>
    <t>Yurt</t>
  </si>
  <si>
    <t>2026-05-07 10:32</t>
  </si>
  <si>
    <t>2026-05-07 10:24</t>
  </si>
  <si>
    <t>Marine Lakerda 1000 Gr.</t>
  </si>
  <si>
    <t>1.20.01.12.1000</t>
  </si>
  <si>
    <t>Nihat  Yurt</t>
  </si>
  <si>
    <t>Donanmacı mahallesi 1721sokak no:26/A</t>
  </si>
  <si>
    <t xml:space="preserve">Balıkhanee restorant </t>
  </si>
  <si>
    <t xml:space="preserve">Evren susup gıda taşıt tic.ltd.şti </t>
  </si>
  <si>
    <t>İzmir</t>
  </si>
  <si>
    <t>35000</t>
  </si>
  <si>
    <t>Karşıyaka</t>
  </si>
  <si>
    <t>3830427256</t>
  </si>
  <si>
    <t xml:space="preserve">Karşıyaka </t>
  </si>
  <si>
    <t>15334436166</t>
  </si>
  <si>
    <t>Sipariş Aktarıldı</t>
  </si>
  <si>
    <t>3d14a926-85a2-4a30-9a40-fcb21b43885f</t>
  </si>
  <si>
    <t>Marine İsli Midye 1000 Gr.</t>
  </si>
  <si>
    <t>1.20.01.17.1000</t>
  </si>
  <si>
    <t>1199</t>
  </si>
  <si>
    <t>fatih</t>
  </si>
  <si>
    <t>odabaşı</t>
  </si>
  <si>
    <t>2026-05-06 21:54</t>
  </si>
  <si>
    <t>2026-05-06 21:44</t>
  </si>
  <si>
    <t>Kalamar Tüp Donuk U/5 Dökme Gigas</t>
  </si>
  <si>
    <t>1.20.09.01.0003</t>
  </si>
  <si>
    <t>Yılmaz Restaurant Göksu mah. Ergeş uçgun sk. Metin Merdol kabal cd. selen apt. altı no:5/B</t>
  </si>
  <si>
    <t>-</t>
  </si>
  <si>
    <t>yılmaz restaurant</t>
  </si>
  <si>
    <t>Mersin</t>
  </si>
  <si>
    <t>33960</t>
  </si>
  <si>
    <t>Silifke</t>
  </si>
  <si>
    <t>+905376311407</t>
  </si>
  <si>
    <t>30349838514</t>
  </si>
  <si>
    <t>silifke</t>
  </si>
  <si>
    <t>e67943b3-5053-446a-8626-eacf51096efc</t>
  </si>
  <si>
    <t>Karides Et Donuk 31/40</t>
  </si>
  <si>
    <t>1.20.08.01.0002</t>
  </si>
  <si>
    <t>Marine Lakerda 200 Gr.</t>
  </si>
  <si>
    <t>1.20.01.12.0200</t>
  </si>
  <si>
    <t>Marine Su Ürünleri Salatası 200 Gr.</t>
  </si>
  <si>
    <t>1.20.01.11.0200</t>
  </si>
  <si>
    <t>1198</t>
  </si>
  <si>
    <t>Can</t>
  </si>
  <si>
    <t>Comert</t>
  </si>
  <si>
    <t>2026-05-06 15:00</t>
  </si>
  <si>
    <t>2026-05-06 08:12</t>
  </si>
  <si>
    <t>sefa Çamlık mahallesi Deniz Büfe İnönü caddesi no 261</t>
  </si>
  <si>
    <t>10400</t>
  </si>
  <si>
    <t>Ayvalık</t>
  </si>
  <si>
    <t>+905323267483</t>
  </si>
  <si>
    <t>819f5987-f8a7-4c4b-a9eb-4801c9591991</t>
  </si>
  <si>
    <t>1197</t>
  </si>
  <si>
    <t>Yusuf</t>
  </si>
  <si>
    <t>Lurci</t>
  </si>
  <si>
    <t>2026-05-05 17:01</t>
  </si>
  <si>
    <t>2026-05-05 16:57</t>
  </si>
  <si>
    <t>Marine Hamsi Füme 1000 Gr.</t>
  </si>
  <si>
    <t>1.20.01.04.1000</t>
  </si>
  <si>
    <t>yusuf lurci</t>
  </si>
  <si>
    <t>cihangir mh. cihangir cd. no:29/1 Beyoğlu / İSTANBUL</t>
  </si>
  <si>
    <t>Tansel</t>
  </si>
  <si>
    <t>Canım İstanbul Restoran Gıda Otel İşletme San. ve Tic.Ltd.Şti</t>
  </si>
  <si>
    <t>34427</t>
  </si>
  <si>
    <t>2010368211</t>
  </si>
  <si>
    <t>65701099760</t>
  </si>
  <si>
    <t>c0855ef3-35b7-4c5e-9d38-6fb1753f3e8f</t>
  </si>
  <si>
    <t>Marine Hamsi Sade 1000 Gr.</t>
  </si>
  <si>
    <t>1.20.01.01.1000</t>
  </si>
  <si>
    <t>1196</t>
  </si>
  <si>
    <t>Çağrı</t>
  </si>
  <si>
    <t>Çatak</t>
  </si>
  <si>
    <t>2026-05-04 13:23</t>
  </si>
  <si>
    <t>2026-05-04 13:20</t>
  </si>
  <si>
    <t>Çağrı çatak</t>
  </si>
  <si>
    <t>Yeşilbahçe mah çınarlı cad bircan sitesi b blok no</t>
  </si>
  <si>
    <t>No 12 3/5 muratpaşa</t>
  </si>
  <si>
    <t>BEYAZ BALIKÇILIK SU ÜRÜNLERİ TOP. VE PER. REST. OTO. PAZ. TUR.TİC.LTD.ŞTİ</t>
  </si>
  <si>
    <t>Antalya</t>
  </si>
  <si>
    <t>07000</t>
  </si>
  <si>
    <t>Muratpaşa</t>
  </si>
  <si>
    <t>+905546719966</t>
  </si>
  <si>
    <t>1671260020</t>
  </si>
  <si>
    <t>KURUMLAR</t>
  </si>
  <si>
    <t>29197284642</t>
  </si>
  <si>
    <t>08d128f5-94f8-4239-8cf6-1d3755118c9a</t>
  </si>
  <si>
    <t>Marine Ahtapot Salatası 1000 Gr.</t>
  </si>
  <si>
    <t>1.20.01.07.1000</t>
  </si>
  <si>
    <t>1195</t>
  </si>
  <si>
    <t>Nesrin</t>
  </si>
  <si>
    <t>Çetinay</t>
  </si>
  <si>
    <t>2026-05-03 19:46</t>
  </si>
  <si>
    <t>2026-05-03 17:35</t>
  </si>
  <si>
    <t>Barbaros Mah. Atatürk Cad. No318/36</t>
  </si>
  <si>
    <t>Kıyı AVM Bizim Yaka Restaurant</t>
  </si>
  <si>
    <t>Zeyas Gıda Turizm Ticaret Ltd. Şti</t>
  </si>
  <si>
    <t>Çanakkale</t>
  </si>
  <si>
    <t>17100</t>
  </si>
  <si>
    <t>Merkez</t>
  </si>
  <si>
    <t>+905058100077</t>
  </si>
  <si>
    <t>9981851059</t>
  </si>
  <si>
    <t>40192618416</t>
  </si>
  <si>
    <t>77f44025-69fb-453d-83af-ac807c77c9b7</t>
  </si>
  <si>
    <t>1194</t>
  </si>
  <si>
    <t>2026-05-02 19:19</t>
  </si>
  <si>
    <t>2026-05-02 19:12</t>
  </si>
  <si>
    <t>4ccebe46-80d9-43da-9283-ac524e153c53</t>
  </si>
  <si>
    <t>1193</t>
  </si>
  <si>
    <t>UĞUR</t>
  </si>
  <si>
    <t>MURAT</t>
  </si>
  <si>
    <t>2026-05-02 08:37</t>
  </si>
  <si>
    <t>2026-05-02 08:30</t>
  </si>
  <si>
    <t>Panga Fileto Donuk</t>
  </si>
  <si>
    <t>1.20.26.01.0001</t>
  </si>
  <si>
    <t>dilşad fulya karacan</t>
  </si>
  <si>
    <t>iskele mah.atatürk cad.no77/B</t>
  </si>
  <si>
    <t>badem balık</t>
  </si>
  <si>
    <t>Muğla</t>
  </si>
  <si>
    <t>48900</t>
  </si>
  <si>
    <t>Datça</t>
  </si>
  <si>
    <t>5060106632</t>
  </si>
  <si>
    <t>datça</t>
  </si>
  <si>
    <t>40900518748</t>
  </si>
  <si>
    <t>386e7201-a648-402a-9101-45ac99704cef</t>
  </si>
  <si>
    <t>1192</t>
  </si>
  <si>
    <t>2026-05-01 22:35</t>
  </si>
  <si>
    <t>2026-03-26 00:50</t>
  </si>
  <si>
    <t>Marine Kalamar Salatası Et 200 Gr.</t>
  </si>
  <si>
    <t>1.20.01.09.0200</t>
  </si>
  <si>
    <t>311cb719-9985-4709-92cd-3a36a7ca9376</t>
  </si>
  <si>
    <t>Mezgit Cips 200 Gr.</t>
  </si>
  <si>
    <t>1.20.06.03.0003</t>
  </si>
  <si>
    <t>1191</t>
  </si>
  <si>
    <t>Mustafa</t>
  </si>
  <si>
    <t>Karalar</t>
  </si>
  <si>
    <t>2026-04-30 14:24</t>
  </si>
  <si>
    <t>2026-04-06 13:31</t>
  </si>
  <si>
    <t>Marine Karides Dereotlu 1000 Gr.</t>
  </si>
  <si>
    <t>1.20.01.10.1000</t>
  </si>
  <si>
    <t>Mustafa  Karalar</t>
  </si>
  <si>
    <t>Merkez mahallesi lise caddesi no5/p31</t>
  </si>
  <si>
    <t>5/p31</t>
  </si>
  <si>
    <t>Meze diyarı</t>
  </si>
  <si>
    <t>07980</t>
  </si>
  <si>
    <t>Kemer</t>
  </si>
  <si>
    <t>+905442288495</t>
  </si>
  <si>
    <t>20890938986</t>
  </si>
  <si>
    <t>3025a198-5784-480b-8a3a-d002ab23d1ab</t>
  </si>
  <si>
    <t>Marine Kalamar Salatası Et 1000 Gr.</t>
  </si>
  <si>
    <t>1.20.01.09.1000</t>
  </si>
  <si>
    <t>Marine Uskumru Füme 1000 Gr.</t>
  </si>
  <si>
    <t>1.20.01.05.1000</t>
  </si>
  <si>
    <t>1190</t>
  </si>
  <si>
    <t>Batuhan</t>
  </si>
  <si>
    <t>Doyuran</t>
  </si>
  <si>
    <t>2026-04-29 15:15</t>
  </si>
  <si>
    <t>İletildi</t>
  </si>
  <si>
    <t>2026-04-29 14:34</t>
  </si>
  <si>
    <t>Batuhan  Doyuran</t>
  </si>
  <si>
    <t>Mithatpaşa Caddesi 1005/C Güzelyalı Mah.</t>
  </si>
  <si>
    <t xml:space="preserve">Doyuran Şarküteri </t>
  </si>
  <si>
    <t>35290</t>
  </si>
  <si>
    <t>Konak</t>
  </si>
  <si>
    <t>12956527838</t>
  </si>
  <si>
    <t>3481fbab-7021-4fa5-81f4-275308a877eb</t>
  </si>
  <si>
    <t>1189</t>
  </si>
  <si>
    <t>Yekaterina</t>
  </si>
  <si>
    <t>Karayildiz</t>
  </si>
  <si>
    <t>2026-04-27 14:37</t>
  </si>
  <si>
    <t>2026-04-27 14:34</t>
  </si>
  <si>
    <t>Altınşehir mahallesi 3016 sok . F blok 11B</t>
  </si>
  <si>
    <t>MEZECAN Gurme Altınşehir 00200 Adıyaman Merkez Adıyaman Türkiye</t>
  </si>
  <si>
    <t>Adıyaman</t>
  </si>
  <si>
    <t>02000</t>
  </si>
  <si>
    <t>+905454810202</t>
  </si>
  <si>
    <t>21380861316</t>
  </si>
  <si>
    <t>b52612da-585e-4d15-9dbd-21b17a7daf06</t>
  </si>
  <si>
    <t>1188</t>
  </si>
  <si>
    <t>AYGÜL</t>
  </si>
  <si>
    <t>KEMERLİ ERSOY</t>
  </si>
  <si>
    <t>2026-04-27 13:49</t>
  </si>
  <si>
    <t>2026-04-27 11:51</t>
  </si>
  <si>
    <t>SELAHATTİN KEMERLİ KONSERVE</t>
  </si>
  <si>
    <t>TERSHANE SOKAK NO : 2</t>
  </si>
  <si>
    <t>17500</t>
  </si>
  <si>
    <t>Gelibolu</t>
  </si>
  <si>
    <t>29650359054</t>
  </si>
  <si>
    <t>db52fa78-c6a7-4a3b-b5b5-198e007aa199</t>
  </si>
  <si>
    <t>1187</t>
  </si>
  <si>
    <t>Esra</t>
  </si>
  <si>
    <t>Koniçe</t>
  </si>
  <si>
    <t>2026-04-26 20:27</t>
  </si>
  <si>
    <t>2026-04-26 16:00</t>
  </si>
  <si>
    <t>Balıkçı Doğan Restauran Cemal Bülbül Sokak  no 14/C BOSTANLI</t>
  </si>
  <si>
    <t>Can apt</t>
  </si>
  <si>
    <t>Bostanlı Ocakbaşı Gıda Tur.İnş.San.ve Tic.Ltd.Şti</t>
  </si>
  <si>
    <t>35590</t>
  </si>
  <si>
    <t>1800464094</t>
  </si>
  <si>
    <t>Çiğli</t>
  </si>
  <si>
    <t>56710038932</t>
  </si>
  <si>
    <t>6e7b701d-7709-4924-a392-28bd66737094</t>
  </si>
  <si>
    <t>1186</t>
  </si>
  <si>
    <t>Sinan</t>
  </si>
  <si>
    <t>Karaca</t>
  </si>
  <si>
    <t>2026-04-26 19:48</t>
  </si>
  <si>
    <t>Gönderildi</t>
  </si>
  <si>
    <t>2026-04-26 19:46</t>
  </si>
  <si>
    <t>Somon Burger 240 GR.</t>
  </si>
  <si>
    <t>1.20.50.08.0003</t>
  </si>
  <si>
    <t>2693. Cadde Beysupark Villalari D5 2/16, Angora Evleri Karsisi</t>
  </si>
  <si>
    <t>Cayyolu</t>
  </si>
  <si>
    <t>Ankara</t>
  </si>
  <si>
    <t>06810</t>
  </si>
  <si>
    <t>Çankaya</t>
  </si>
  <si>
    <t>32185171626</t>
  </si>
  <si>
    <t>160ca921-6775-4819-b31b-17bdc9267464</t>
  </si>
  <si>
    <t>1185</t>
  </si>
  <si>
    <t>Tuğba</t>
  </si>
  <si>
    <t>Akgül</t>
  </si>
  <si>
    <t>2026-04-25 17:06</t>
  </si>
  <si>
    <t>2026-04-25 16:58</t>
  </si>
  <si>
    <t>Büyükkum mahallesi denizbüyükkum caddesi A blok no 10/B</t>
  </si>
  <si>
    <t>07570</t>
  </si>
  <si>
    <t>Demre</t>
  </si>
  <si>
    <t>64315081390</t>
  </si>
  <si>
    <t>d27078b6-a9d8-46a0-a50f-61073cea8108</t>
  </si>
  <si>
    <t>Deniz Börülcesi 5 Kg.</t>
  </si>
  <si>
    <t>1.20.50.01.0003</t>
  </si>
  <si>
    <t>1184</t>
  </si>
  <si>
    <t>Emre Can</t>
  </si>
  <si>
    <t>Güler</t>
  </si>
  <si>
    <t>2026-04-23 09:43</t>
  </si>
  <si>
    <t>2026-01-23 13:10</t>
  </si>
  <si>
    <t>Tabaklar Mah. Uygur sk no 5/A</t>
  </si>
  <si>
    <t>Caretta Pizza</t>
  </si>
  <si>
    <t>Bolu</t>
  </si>
  <si>
    <t>14100</t>
  </si>
  <si>
    <t>4171039784</t>
  </si>
  <si>
    <t>21253540068</t>
  </si>
  <si>
    <t>fb2946a2-e6b7-471f-bb19-8137a1299d6a</t>
  </si>
  <si>
    <t>1183</t>
  </si>
  <si>
    <t>BARIŞ</t>
  </si>
  <si>
    <t>AKTAŞ</t>
  </si>
  <si>
    <t>2026-04-22 21:47</t>
  </si>
  <si>
    <t>2026-04-19 23:46</t>
  </si>
  <si>
    <t>Marine Pancar Salatası 5000 Gr.</t>
  </si>
  <si>
    <t>1.20.01.14.5000</t>
  </si>
  <si>
    <t xml:space="preserve">Barış  Aktaş </t>
  </si>
  <si>
    <t>Ambarlı mah.marmara sahil sok.no17</t>
  </si>
  <si>
    <t xml:space="preserve">Asmalı Restaurant </t>
  </si>
  <si>
    <t>34315</t>
  </si>
  <si>
    <t>Avcılar</t>
  </si>
  <si>
    <t>45328229498</t>
  </si>
  <si>
    <t>422911e8-8bc2-4bea-ab0a-f93205214f4c</t>
  </si>
  <si>
    <t>Karides Kabuklu Beyaz Donuk 8/12 1000 Gr.</t>
  </si>
  <si>
    <t>1.20.08.02.0003</t>
  </si>
  <si>
    <t>1182</t>
  </si>
  <si>
    <t>Emre</t>
  </si>
  <si>
    <t>Süvari</t>
  </si>
  <si>
    <t>2026-04-20 14:41</t>
  </si>
  <si>
    <t>2026-04-20 12:27</t>
  </si>
  <si>
    <t>aliye  GÜNDÜZALP</t>
  </si>
  <si>
    <t>Bozkurt Mah Baysungur sok.</t>
  </si>
  <si>
    <t>No:95 Daire: A</t>
  </si>
  <si>
    <t>Aliye Gündüzalp</t>
  </si>
  <si>
    <t>34375</t>
  </si>
  <si>
    <t>Şişli</t>
  </si>
  <si>
    <t>4310175853</t>
  </si>
  <si>
    <t>37718170824</t>
  </si>
  <si>
    <t>d89b0e42-747e-4106-8af0-da3ab21bdff0</t>
  </si>
  <si>
    <t>Enginar Kalbi Saplı-Viru Roma Tipi</t>
  </si>
  <si>
    <t>1.20.50.01.0005</t>
  </si>
  <si>
    <t>1181</t>
  </si>
  <si>
    <t>SVİATLANA</t>
  </si>
  <si>
    <t>Bozam</t>
  </si>
  <si>
    <t>2026-04-18 20:46</t>
  </si>
  <si>
    <t>2026-04-08 14:47</t>
  </si>
  <si>
    <t>Somon Füme Donuk Dilimli 55 Gr.</t>
  </si>
  <si>
    <t>1.20.07.03.0002</t>
  </si>
  <si>
    <t xml:space="preserve">SVIATLANA  Bozan </t>
  </si>
  <si>
    <t xml:space="preserve">Suadiye Mahallesi, Öncü sokak 2, Büyükhanlı Konutları, B-1 blok, Kat 7, Daire 20, Suadiye, Kadıköy, İstanbul </t>
  </si>
  <si>
    <t>Suadiye Mahallesi, Öncü sokak 2, Büyükhanlı Konutları, B-1 blok, Kat 7, Daire 20</t>
  </si>
  <si>
    <t>34740</t>
  </si>
  <si>
    <t>Kadıköy</t>
  </si>
  <si>
    <t>29258595960</t>
  </si>
  <si>
    <t>d0e94ac2-5644-49ad-a6a6-081008e0d0f8</t>
  </si>
  <si>
    <t>1180</t>
  </si>
  <si>
    <t>2026-04-17 14:10</t>
  </si>
  <si>
    <t>2026-04-17 13:57</t>
  </si>
  <si>
    <t>a2490aed-c232-43da-9d0a-49dd26086a64</t>
  </si>
  <si>
    <t>1179</t>
  </si>
  <si>
    <t>Suna</t>
  </si>
  <si>
    <t>Uğurlu</t>
  </si>
  <si>
    <t>2026-04-17 00:24</t>
  </si>
  <si>
    <t>2026-03-03 23:32</t>
  </si>
  <si>
    <t>Eski ptt cad no2 gelibolu</t>
  </si>
  <si>
    <t>48958817202</t>
  </si>
  <si>
    <t>d0fc0c28-caac-4307-991c-54ca2adfdae6</t>
  </si>
  <si>
    <t>1.20.09.01.0004</t>
  </si>
  <si>
    <t>1178</t>
  </si>
  <si>
    <t>Kahraman</t>
  </si>
  <si>
    <t>Berk</t>
  </si>
  <si>
    <t>2026-04-16 20:43</t>
  </si>
  <si>
    <t>2026-03-15 18:55</t>
  </si>
  <si>
    <t>Kahraman  Berk</t>
  </si>
  <si>
    <t xml:space="preserve">Topağaç mah Dikmen Sk no:8 Saklıbahçe Restaurant </t>
  </si>
  <si>
    <t>Tekirdağ</t>
  </si>
  <si>
    <t>59100</t>
  </si>
  <si>
    <t>Süleymanpaşa</t>
  </si>
  <si>
    <t>0bf51c70-4fb1-400b-b44f-734ed718f1e6</t>
  </si>
  <si>
    <t>1177</t>
  </si>
  <si>
    <t>uğur</t>
  </si>
  <si>
    <t>yıldız</t>
  </si>
  <si>
    <t>2026-04-14 19:49</t>
  </si>
  <si>
    <t>2026-04-09 12:37</t>
  </si>
  <si>
    <t>Somon Fileto Posiyon Dilim Donuk-Dökme</t>
  </si>
  <si>
    <t>1.20.07.01.0001</t>
  </si>
  <si>
    <t>UĞUR YILDIZ</t>
  </si>
  <si>
    <t>ESENLER MAHALLESİ BARIŞ CADDESİ NO:40/A ÇANAKKALE/MERKEZ</t>
  </si>
  <si>
    <t>FANTAZMAGORİ TEKNOLOJİ REKLAMCILIK SANAYİ VE TİCARET LİMİTED ŞİRKETİ</t>
  </si>
  <si>
    <t>17000</t>
  </si>
  <si>
    <t>3852137467</t>
  </si>
  <si>
    <t>38932053856</t>
  </si>
  <si>
    <t>cd301945-ed2b-4bff-ad8b-fda9a89d510c</t>
  </si>
  <si>
    <t>1176</t>
  </si>
  <si>
    <t>Demircan</t>
  </si>
  <si>
    <t>Coşkun</t>
  </si>
  <si>
    <t>2026-04-14 13:07</t>
  </si>
  <si>
    <t>2026-04-14 12:19</t>
  </si>
  <si>
    <t>Hamsi Fileto Donuk Dökme</t>
  </si>
  <si>
    <t>1.20.12.02.0001</t>
  </si>
  <si>
    <t>Göksu mah. seda çıkmazı no:4</t>
  </si>
  <si>
    <t>Aldo enerji</t>
  </si>
  <si>
    <t>Mücella Ustok</t>
  </si>
  <si>
    <t>34810</t>
  </si>
  <si>
    <t>Beykoz</t>
  </si>
  <si>
    <t>+905334304904</t>
  </si>
  <si>
    <t>26162657678</t>
  </si>
  <si>
    <t>Ziyapaşa vd</t>
  </si>
  <si>
    <t>26207656116</t>
  </si>
  <si>
    <t>37c7236b-c20b-4fe1-bef6-96c5c8c4a6b7</t>
  </si>
  <si>
    <t>Somon Burger 3kg</t>
  </si>
  <si>
    <t>1.20.50.08.0001</t>
  </si>
  <si>
    <t>1175</t>
  </si>
  <si>
    <t>İbrahim</t>
  </si>
  <si>
    <t>Sert</t>
  </si>
  <si>
    <t>2026-04-13 19:26</t>
  </si>
  <si>
    <t>2026-03-31 20:02</t>
  </si>
  <si>
    <t>Fener mahallesi
1968. Sk. no: 37/A</t>
  </si>
  <si>
    <t>İBRAHİM SERT - Bİ MEZE</t>
  </si>
  <si>
    <t>07230</t>
  </si>
  <si>
    <t>18799625120</t>
  </si>
  <si>
    <t>KALEKAPI</t>
  </si>
  <si>
    <t>739e1b07-54e9-4823-9a56-289458fd24de</t>
  </si>
  <si>
    <t>Kaya Koruğu 5 Kg.</t>
  </si>
  <si>
    <t>1.20.50.01.0002</t>
  </si>
  <si>
    <t>1174</t>
  </si>
  <si>
    <t>Hasan</t>
  </si>
  <si>
    <t>Selçuk</t>
  </si>
  <si>
    <t>2026-04-13 09:15</t>
  </si>
  <si>
    <t>2026-04-07 08:51</t>
  </si>
  <si>
    <t>Uskumru Fileto Donuk-Dökme</t>
  </si>
  <si>
    <t>1.20.05.01.0001</t>
  </si>
  <si>
    <t>Marko paşa Aşağı pazarcı mah 1001. Sk  No:7</t>
  </si>
  <si>
    <t>07600</t>
  </si>
  <si>
    <t>Manavgat</t>
  </si>
  <si>
    <t>22079427564</t>
  </si>
  <si>
    <t>e4a53c9b-8927-4120-867c-29ee36be000c</t>
  </si>
  <si>
    <t>1173</t>
  </si>
  <si>
    <t>İSMAİL</t>
  </si>
  <si>
    <t>YILDIZ</t>
  </si>
  <si>
    <t>2026-04-10 16:01</t>
  </si>
  <si>
    <t>2026-04-10 15:56</t>
  </si>
  <si>
    <t>BÜYÜKKIRIM MH.İSTASYON CD.NO:44 CEYHAN/ADANA</t>
  </si>
  <si>
    <t>Adana</t>
  </si>
  <si>
    <t>01960</t>
  </si>
  <si>
    <t>Ceyhan</t>
  </si>
  <si>
    <t>19835692878</t>
  </si>
  <si>
    <t>d8b42def-1516-444b-9950-1e8cf4d9ab7c</t>
  </si>
  <si>
    <t>1172</t>
  </si>
  <si>
    <t>Emrah</t>
  </si>
  <si>
    <t>İnan</t>
  </si>
  <si>
    <t>2026-04-07 09:57</t>
  </si>
  <si>
    <t>2026-04-07 09:51</t>
  </si>
  <si>
    <t>Marine Pancar Salatası 1000 Gr.</t>
  </si>
  <si>
    <t>1.20.01.14.1000</t>
  </si>
  <si>
    <t>Boğazkent mevii NO:2/1
Kolin Hotel</t>
  </si>
  <si>
    <t>07454d29-e73b-40c0-ac8e-9c059f784e9b</t>
  </si>
  <si>
    <t>1171</t>
  </si>
  <si>
    <t xml:space="preserve">Nazlı </t>
  </si>
  <si>
    <t xml:space="preserve">Chatkaek </t>
  </si>
  <si>
    <t>2026-04-07 00:35</t>
  </si>
  <si>
    <t>2026-04-04 02:14</t>
  </si>
  <si>
    <t>Baraj Mah. Kırçiçeği Cad. Yörük Ramazan Apt. No: 98F/18</t>
  </si>
  <si>
    <t>07320</t>
  </si>
  <si>
    <t>Kepez</t>
  </si>
  <si>
    <t>+905536637403</t>
  </si>
  <si>
    <t>29513600040</t>
  </si>
  <si>
    <t>afaf35c2-e455-49c1-ba17-a49e0bca2e60</t>
  </si>
  <si>
    <t>1170</t>
  </si>
  <si>
    <t>Necip</t>
  </si>
  <si>
    <t>Mutlu</t>
  </si>
  <si>
    <t>2026-04-06 16:33</t>
  </si>
  <si>
    <t>2026-04-04 16:48</t>
  </si>
  <si>
    <t>NECİP MUTLU</t>
  </si>
  <si>
    <t>600 evler mah. 2091 sok. no:54 (Nemka Gıda)  Bandırma / Balıkesir</t>
  </si>
  <si>
    <t>Necip Mutlu - Nemka Gıda</t>
  </si>
  <si>
    <t>10200</t>
  </si>
  <si>
    <t>Bandırma</t>
  </si>
  <si>
    <t>30148147008</t>
  </si>
  <si>
    <t>BANDIRMA</t>
  </si>
  <si>
    <t>9b53b808-9a71-4237-9e6d-40b1376190d1</t>
  </si>
  <si>
    <t>1169</t>
  </si>
  <si>
    <t>Pınar</t>
  </si>
  <si>
    <t>Enginsu</t>
  </si>
  <si>
    <t>2026-04-06 15:59</t>
  </si>
  <si>
    <t>2026-04-06 15:53</t>
  </si>
  <si>
    <t>Süreyya Enginsu</t>
  </si>
  <si>
    <t>Andifli Mah. Süleyman Sandıkçı Sok. No.1 Kaş</t>
  </si>
  <si>
    <t>71734048194</t>
  </si>
  <si>
    <t>Süreyya Pınar Enginsu ve Ortağı</t>
  </si>
  <si>
    <t>07580</t>
  </si>
  <si>
    <t>Kaş</t>
  </si>
  <si>
    <t>+905322814488</t>
  </si>
  <si>
    <t>7870717304</t>
  </si>
  <si>
    <t>Kaş Vergi Müdürlüğü</t>
  </si>
  <si>
    <t>Andifli Mah. Eski Antalya Cad. No. 56 1. Habesos Evleri 2. Blok Daire 5</t>
  </si>
  <si>
    <t>5e075cbb-20c1-45da-955f-7109c688e486</t>
  </si>
  <si>
    <t>1168</t>
  </si>
  <si>
    <t>Yekaterına</t>
  </si>
  <si>
    <t>2026-04-06 12:46</t>
  </si>
  <si>
    <t>2026-04-05 14:30</t>
  </si>
  <si>
    <t>Altınşehir mahallesi 3016 sok . F blok 11B  MEZECAN Gurme Altınşehir 00200 Adıyaman Merkez Adıyaman Türkiye</t>
  </si>
  <si>
    <t>Mezecan</t>
  </si>
  <si>
    <t>21680861316</t>
  </si>
  <si>
    <t>6c4b85ed-d52a-4e71-bbae-9aff6800d780</t>
  </si>
  <si>
    <t>1167</t>
  </si>
  <si>
    <t>Zeliha</t>
  </si>
  <si>
    <t>Eren</t>
  </si>
  <si>
    <t>2026-04-05 17:21</t>
  </si>
  <si>
    <t>2026-03-07 01:01</t>
  </si>
  <si>
    <t>Mezgit Fileto Porsiyon Dilim Donuk - Dökme</t>
  </si>
  <si>
    <t>1.20.06.01.0001</t>
  </si>
  <si>
    <t>Zeliha  Eren Yigit</t>
  </si>
  <si>
    <t xml:space="preserve">Aksu Mahallesi, Ataturk Caddesi, No:37 </t>
  </si>
  <si>
    <t>Rize</t>
  </si>
  <si>
    <t>53700</t>
  </si>
  <si>
    <t>Fındıklı</t>
  </si>
  <si>
    <t>+905427715041</t>
  </si>
  <si>
    <t>e0a1a83c-49c7-4003-b11e-1fc3776b7eb3</t>
  </si>
  <si>
    <t>1166</t>
  </si>
  <si>
    <t>Pınar  Enginsu</t>
  </si>
  <si>
    <t xml:space="preserve">Pınar </t>
  </si>
  <si>
    <t>2026-04-04 17:33</t>
  </si>
  <si>
    <t>2026-04-04 17:30</t>
  </si>
  <si>
    <t>Marine Midye Füme 1000 Gr.</t>
  </si>
  <si>
    <t>Mira Cafe Bar, Andifli Mah. Süleyman Sandıkçı Sok. No.1</t>
  </si>
  <si>
    <t>c1f325ec-bc0e-452b-a831-6e501e6d1c89</t>
  </si>
  <si>
    <t>1165</t>
  </si>
  <si>
    <t>2026-04-02 13:18</t>
  </si>
  <si>
    <t>2026-03-26 15:23</t>
  </si>
  <si>
    <t>Somon Füme Donuk Dilimli(Siyah Paket)</t>
  </si>
  <si>
    <t>1.20.07.03.0001</t>
  </si>
  <si>
    <t>ea391283-6f0f-4224-9968-1c52de512341</t>
  </si>
  <si>
    <t>1164</t>
  </si>
  <si>
    <t>2026-04-01 19:34</t>
  </si>
  <si>
    <t>2026-04-01 19:26</t>
  </si>
  <si>
    <t>1ca887be-bed1-4599-9d19-58fa00f1b1ec</t>
  </si>
  <si>
    <t>1163</t>
  </si>
  <si>
    <t>2026-04-01 19:15</t>
  </si>
  <si>
    <t>2026-04-01 19:03</t>
  </si>
  <si>
    <t>e8f5181f-55ad-4c3a-86f2-6c752282b4ea</t>
  </si>
  <si>
    <t>1162</t>
  </si>
  <si>
    <t>emre</t>
  </si>
  <si>
    <t>2026-04-01 11:41</t>
  </si>
  <si>
    <t>2026-04-01 11:33</t>
  </si>
  <si>
    <t xml:space="preserve">Kıvanç  Tüfekçioğlu </t>
  </si>
  <si>
    <t>Cumhuriyet mahallesi 385 sokak no 1/1 Leyla by malena restaurant</t>
  </si>
  <si>
    <t xml:space="preserve">Leyla by malena </t>
  </si>
  <si>
    <t>35980</t>
  </si>
  <si>
    <t>Dikili</t>
  </si>
  <si>
    <t>10799566632</t>
  </si>
  <si>
    <t>b40c93b4-65b0-46b2-a9f0-25cd8c36af72</t>
  </si>
  <si>
    <t>1161</t>
  </si>
  <si>
    <t>Ahd</t>
  </si>
  <si>
    <t>Douma</t>
  </si>
  <si>
    <t>2026-03-30 22:21</t>
  </si>
  <si>
    <t>2026-03-30 19:27</t>
  </si>
  <si>
    <t>Mesut Nazar</t>
  </si>
  <si>
    <t>Grand hisar hotel, Hüseyinaga Mah.Kamerhatun Caddesi No:22 Balikpazari, 34400 Beyoğlu, Türkiye</t>
  </si>
  <si>
    <t>201 oda</t>
  </si>
  <si>
    <t>34400</t>
  </si>
  <si>
    <t>67957244116</t>
  </si>
  <si>
    <t>9c405361-df81-49dd-bb59-fde8498648d3</t>
  </si>
  <si>
    <t>1160</t>
  </si>
  <si>
    <t xml:space="preserve">Tuğba </t>
  </si>
  <si>
    <t>Semiz</t>
  </si>
  <si>
    <t>2026-03-27 14:03</t>
  </si>
  <si>
    <t>2026-03-25 11:35</t>
  </si>
  <si>
    <t>Fatma  Birlik</t>
  </si>
  <si>
    <t>Mimar Sinan Mahallesi 1394 Sokak No:16 B Konak İzmie</t>
  </si>
  <si>
    <t>+905378135199</t>
  </si>
  <si>
    <t>42340881932</t>
  </si>
  <si>
    <t>Sevgi Kurtuluş</t>
  </si>
  <si>
    <t>Merkez Mahallesi Maradit Caddesi No:37</t>
  </si>
  <si>
    <t>Artvin</t>
  </si>
  <si>
    <t>08400</t>
  </si>
  <si>
    <t>Borçka</t>
  </si>
  <si>
    <t>12565645442</t>
  </si>
  <si>
    <t>0ea2a9cc-1150-48b8-8b97-5e7345270acf</t>
  </si>
  <si>
    <t>1159</t>
  </si>
  <si>
    <t xml:space="preserve">Naci Onur </t>
  </si>
  <si>
    <t>GÜRSOY</t>
  </si>
  <si>
    <t>2026-03-25 18:11</t>
  </si>
  <si>
    <t>2026-03-25 18:01</t>
  </si>
  <si>
    <t>Naci onur GÜRSOY</t>
  </si>
  <si>
    <t>Arnavutköy mahallesi Abdulhak Molla Sokak,numara 26/1</t>
  </si>
  <si>
    <t>Naci Onur Gürsoy / Rago Balık</t>
  </si>
  <si>
    <t>34345</t>
  </si>
  <si>
    <t>Beşiktaş</t>
  </si>
  <si>
    <t>4480199941</t>
  </si>
  <si>
    <t>46303363008</t>
  </si>
  <si>
    <t>70b22811-53aa-4a66-a601-36b250779d0e</t>
  </si>
  <si>
    <t>1158</t>
  </si>
  <si>
    <t>Ali</t>
  </si>
  <si>
    <t>2026-03-25 15:21</t>
  </si>
  <si>
    <t>2026-03-25 14:57</t>
  </si>
  <si>
    <t>Kumkoy mah.Guzelgecit sok.9/B
Sariyer ist.</t>
  </si>
  <si>
    <t>34450</t>
  </si>
  <si>
    <t>Sarıyer</t>
  </si>
  <si>
    <t>42bc52cb-576f-45f7-9cc4-52f07d2aa31d</t>
  </si>
  <si>
    <t>1157</t>
  </si>
  <si>
    <t>2026-03-24 16:21</t>
  </si>
  <si>
    <t>2026-03-24 15:29</t>
  </si>
  <si>
    <t>e148d99d-f3f1-4a5b-b44c-39a60b0d0fcb</t>
  </si>
  <si>
    <t>1156</t>
  </si>
  <si>
    <t>2026-03-23 16:44</t>
  </si>
  <si>
    <t>2026-03-23 15:44</t>
  </si>
  <si>
    <t>Müşterek Meyhane Şehit Muhtar Mah. Mis Sokak</t>
  </si>
  <si>
    <t xml:space="preserve"> No:15 Kat:1</t>
  </si>
  <si>
    <t>34435</t>
  </si>
  <si>
    <t>18236256306</t>
  </si>
  <si>
    <t>3468b401-d3ba-4fb8-8b6f-dfce001c94b7</t>
  </si>
  <si>
    <t>1155</t>
  </si>
  <si>
    <t>2026-03-22 20:45</t>
  </si>
  <si>
    <t>2026-03-22 20:44</t>
  </si>
  <si>
    <t>25bc779b-178a-4730-ac00-ba8ca4dcb5de</t>
  </si>
  <si>
    <t>1154</t>
  </si>
  <si>
    <t>İade Edildi</t>
  </si>
  <si>
    <t>2026-03-22 20:43</t>
  </si>
  <si>
    <t>İptal Edildi</t>
  </si>
  <si>
    <t>2026-03-22 20:38</t>
  </si>
  <si>
    <t>7bf795bb-c382-4f48-9315-5ac4aefd58ed</t>
  </si>
  <si>
    <t>1153</t>
  </si>
  <si>
    <t>2026-03-22 17:18</t>
  </si>
  <si>
    <t>2026-03-22 17:06</t>
  </si>
  <si>
    <t>ae6a9728-a41c-4b3f-b295-0b0156860919</t>
  </si>
  <si>
    <t>1152</t>
  </si>
  <si>
    <t>2026-03-21 21:54</t>
  </si>
  <si>
    <t>2026-03-21 21:48</t>
  </si>
  <si>
    <t>Atatürk Caddesi Boğazkent mevii NO:2/1</t>
  </si>
  <si>
    <t xml:space="preserve">Kolin Hotel </t>
  </si>
  <si>
    <t>36913114480</t>
  </si>
  <si>
    <t>5d50c5e6-60ab-4680-9a11-2f19fdee0d7b</t>
  </si>
  <si>
    <t>1151</t>
  </si>
  <si>
    <t>çiğdem</t>
  </si>
  <si>
    <t>bilge</t>
  </si>
  <si>
    <t>2026-03-15 14:37</t>
  </si>
  <si>
    <t>2026-03-15 14:25</t>
  </si>
  <si>
    <t>Muslihittin mahallesi Rıfatayaydın Caddesi Dostlar Sitesi A Blok No:41 Daire:3 Menteşe/Muğla</t>
  </si>
  <si>
    <t>48000</t>
  </si>
  <si>
    <t>Menteşe</t>
  </si>
  <si>
    <t>24581305514</t>
  </si>
  <si>
    <t>428d3eef-896d-4cb4-8cd2-a1ffd8830fa8</t>
  </si>
  <si>
    <t>1150</t>
  </si>
  <si>
    <t>2026-03-14 19:29</t>
  </si>
  <si>
    <t>2026-03-14 17:31</t>
  </si>
  <si>
    <t>330ec0c2-ff2d-4bb7-a6cc-ee0f14c3437b</t>
  </si>
  <si>
    <t>1149</t>
  </si>
  <si>
    <t>Yeşim</t>
  </si>
  <si>
    <t>Unugur</t>
  </si>
  <si>
    <t>2026-03-13 08:44</t>
  </si>
  <si>
    <t>2026-03-13 08:38</t>
  </si>
  <si>
    <t>Mustafa Kemal Paşa mahallesi değirmen Sokak no 17(fora fizik)</t>
  </si>
  <si>
    <t>Eskişehir</t>
  </si>
  <si>
    <t>26120</t>
  </si>
  <si>
    <t>Tepebaşı</t>
  </si>
  <si>
    <t>11111111111</t>
  </si>
  <si>
    <t>160f7622-8a6a-4f3c-bf2f-067445451cf1</t>
  </si>
  <si>
    <t>1148</t>
  </si>
  <si>
    <t>Örgen</t>
  </si>
  <si>
    <t>Canatan</t>
  </si>
  <si>
    <t>2026-03-09 17:00</t>
  </si>
  <si>
    <t>2026-03-04 12:17</t>
  </si>
  <si>
    <t>Narlıkuyu mah Çerkez sok no-1.kerim restaurant</t>
  </si>
  <si>
    <t>Narlıkuyu mah Çerkez sok -no-1 Silifke /Mersin</t>
  </si>
  <si>
    <t>33940</t>
  </si>
  <si>
    <t>32359771782</t>
  </si>
  <si>
    <t>4f474e1f-8321-4304-81f4-ea36011eb967</t>
  </si>
  <si>
    <t>1147</t>
  </si>
  <si>
    <t>2026-03-05 16:52</t>
  </si>
  <si>
    <t>2026-03-05 16:51</t>
  </si>
  <si>
    <t>1e83884c-a2a5-4f36-95ed-e4042edc9be9</t>
  </si>
  <si>
    <t>1146</t>
  </si>
  <si>
    <t>KEMAL EREN</t>
  </si>
  <si>
    <t>HOŞGÖR</t>
  </si>
  <si>
    <t>2026-03-04 16:45</t>
  </si>
  <si>
    <t>2026-03-04 16:39</t>
  </si>
  <si>
    <t>Ömer Avni, Meclis-i Mebusan Cd. No:34, 34427 Beyoğlu/İstanbul</t>
  </si>
  <si>
    <t>HOŞGÖRLER DENİZCİLİK TURİZM GIDA TİCARET LİMİTED ŞİRKETİ</t>
  </si>
  <si>
    <t>BEYKOZ</t>
  </si>
  <si>
    <t>46297323668</t>
  </si>
  <si>
    <t>33f47fad-58a9-4510-b3b1-5fc2d5ed1285</t>
  </si>
  <si>
    <t>1145</t>
  </si>
  <si>
    <t>2026-03-04 13:00</t>
  </si>
  <si>
    <t>Parçalı İade</t>
  </si>
  <si>
    <t>2026-03-02 14:24</t>
  </si>
  <si>
    <t>Sipariş Aktarıldı,#mart_4-14</t>
  </si>
  <si>
    <t>32da628a-0ef0-4692-af06-b2d0ef6022d2</t>
  </si>
  <si>
    <t>Kalamar Kirli 3/6 İthal Loligo</t>
  </si>
  <si>
    <t>1.20.09.02.0009</t>
  </si>
  <si>
    <t>Karides Kabuklu Beyaz Donuk 13/15 1000 Gr.</t>
  </si>
  <si>
    <t>1.20.08.02.0004</t>
  </si>
  <si>
    <t>1144</t>
  </si>
  <si>
    <t>2026-03-04 00:01</t>
  </si>
  <si>
    <t>2026-03-03 23:52</t>
  </si>
  <si>
    <t>57a261cc-6f10-4afe-a449-633a9044c3f0</t>
  </si>
  <si>
    <t>1143</t>
  </si>
  <si>
    <t>2026-03-03 23:48</t>
  </si>
  <si>
    <t>2026-03-03 23:45</t>
  </si>
  <si>
    <t>d6f5d69a-2b87-4dd8-b867-3c139471af93</t>
  </si>
  <si>
    <t>1142</t>
  </si>
  <si>
    <t>Mehmet</t>
  </si>
  <si>
    <t>Kocaoğlangil</t>
  </si>
  <si>
    <t>2026-03-02 09:32</t>
  </si>
  <si>
    <t>2026-02-24 22:21</t>
  </si>
  <si>
    <t>Değirmiçem mahallesi istasyon Çad no 43 Gaziantep Sanayi Odası</t>
  </si>
  <si>
    <t>Gaziantep</t>
  </si>
  <si>
    <t>27010</t>
  </si>
  <si>
    <t>Şehitkamil</t>
  </si>
  <si>
    <t>34627479260</t>
  </si>
  <si>
    <t>1194e883-acf5-464e-bc84-563046174fc8</t>
  </si>
  <si>
    <t>1141</t>
  </si>
  <si>
    <t>SEVDA NUR</t>
  </si>
  <si>
    <t>CAN</t>
  </si>
  <si>
    <t>2026-03-01 18:54</t>
  </si>
  <si>
    <t>2026-03-01 18:29</t>
  </si>
  <si>
    <t>Sevda Nur CAN</t>
  </si>
  <si>
    <t>KUMBAĞ MAH.BELEDIYE CAD.NO.113</t>
  </si>
  <si>
    <t xml:space="preserve">CAMIŞ RESTAURANT </t>
  </si>
  <si>
    <t>59060</t>
  </si>
  <si>
    <t>24691986702</t>
  </si>
  <si>
    <t>5c8049f0-e602-4f71-b7f7-6bb0d455ddb2</t>
  </si>
  <si>
    <t>1140</t>
  </si>
  <si>
    <t>muharrem</t>
  </si>
  <si>
    <t>tımışkı</t>
  </si>
  <si>
    <t>2026-02-26 18:05</t>
  </si>
  <si>
    <t>2026-02-26 18:01</t>
  </si>
  <si>
    <t>Şehit cevdet koç cad. No 123</t>
  </si>
  <si>
    <t>Sakarya</t>
  </si>
  <si>
    <t>54600</t>
  </si>
  <si>
    <t>Sapanca</t>
  </si>
  <si>
    <t>29473269530</t>
  </si>
  <si>
    <t>ddec8f48-62c3-4d31-a251-d7cfac4391ff</t>
  </si>
  <si>
    <t>1139</t>
  </si>
  <si>
    <t>2026-02-24 22:23</t>
  </si>
  <si>
    <t>2026-02-22 17:27</t>
  </si>
  <si>
    <t>b7baab82-3bb8-4642-ab68-fe2b322a837c</t>
  </si>
  <si>
    <t>Pişmiş Mezgit 120 Gr. Baharatlı</t>
  </si>
  <si>
    <t>1.20.06.03.0001</t>
  </si>
  <si>
    <t>1138</t>
  </si>
  <si>
    <t xml:space="preserve">Baha  Gürler </t>
  </si>
  <si>
    <t xml:space="preserve">Baha </t>
  </si>
  <si>
    <t xml:space="preserve">Gürler </t>
  </si>
  <si>
    <t>2026-02-18 15:53</t>
  </si>
  <si>
    <t>2026-02-18 15:49</t>
  </si>
  <si>
    <t>Marine Uskumru Füme Çiroz 200 Gr.</t>
  </si>
  <si>
    <t>1.20.01.06.0200</t>
  </si>
  <si>
    <t>Kemalpaşa mahallesi dibek sokak no;16</t>
  </si>
  <si>
    <t xml:space="preserve">Çanak otel arasında </t>
  </si>
  <si>
    <t>Kısa koşu</t>
  </si>
  <si>
    <t>11582545438</t>
  </si>
  <si>
    <t>4d581912-93cc-48dc-9b0c-137b36be90cc</t>
  </si>
  <si>
    <t>1137</t>
  </si>
  <si>
    <t>serhat</t>
  </si>
  <si>
    <t>sütçüoğlu</t>
  </si>
  <si>
    <t>2026-02-17 15:58</t>
  </si>
  <si>
    <t>2026-02-17 15:48</t>
  </si>
  <si>
    <t>Mithatpaşa mahallesi Çarşı caddesi no 43</t>
  </si>
  <si>
    <t>Doruk cafe otel</t>
  </si>
  <si>
    <t>Doruk cafe otel Merve Sütçüoğlu</t>
  </si>
  <si>
    <t>+905326807601</t>
  </si>
  <si>
    <t>15133620810</t>
  </si>
  <si>
    <t>28630157024</t>
  </si>
  <si>
    <t>79950495-c965-477f-b2db-737ec8ae8ff1</t>
  </si>
  <si>
    <t>Sardalya Fileto Donuk Dökme</t>
  </si>
  <si>
    <t>1.20.18.02.0002</t>
  </si>
  <si>
    <t>1136</t>
  </si>
  <si>
    <t>İDİL</t>
  </si>
  <si>
    <t>AYVALIKLI KARTOĞLU</t>
  </si>
  <si>
    <t>2026-02-16 17:50</t>
  </si>
  <si>
    <t>2026-02-11 12:58</t>
  </si>
  <si>
    <t>TOMTOM MAH. ARA GÜLER SOK.</t>
  </si>
  <si>
    <t>NO:2</t>
  </si>
  <si>
    <t>TERAZİ TURZ.REK.PROD.FOT.BAS.HİZ.DIŞ TİC.LTD.ŞTİ.</t>
  </si>
  <si>
    <t>34433</t>
  </si>
  <si>
    <t>+902122454105</t>
  </si>
  <si>
    <t>6230065768</t>
  </si>
  <si>
    <t>BEYOĞLU</t>
  </si>
  <si>
    <t>18616524698</t>
  </si>
  <si>
    <t>KARAKÖY GÜMRÜK LOKNTASI, KEMANKEŞ KARAMUSTAFA PAŞA MAH. GÜMRÜK SOKAK</t>
  </si>
  <si>
    <t>NO:4</t>
  </si>
  <si>
    <t>34425</t>
  </si>
  <si>
    <t>+905353217879</t>
  </si>
  <si>
    <t>62754fe0-ffcd-4437-b0dd-d5fa6762d76a</t>
  </si>
  <si>
    <t>ozel15</t>
  </si>
  <si>
    <t>1135</t>
  </si>
  <si>
    <t>2026-02-16 15:31</t>
  </si>
  <si>
    <t>2026-02-16 15:26</t>
  </si>
  <si>
    <t>2c6bcdcc-d136-48b4-87ee-aa0c7aa86441</t>
  </si>
  <si>
    <t>1134</t>
  </si>
  <si>
    <t xml:space="preserve">Bayram  Denk </t>
  </si>
  <si>
    <t xml:space="preserve">Bayram </t>
  </si>
  <si>
    <t xml:space="preserve">Denk </t>
  </si>
  <si>
    <t>2026-02-16 12:16</t>
  </si>
  <si>
    <t>2026-02-14 23:28</t>
  </si>
  <si>
    <t>Bayram Denk</t>
  </si>
  <si>
    <t>Bademli mahallesi 1.sokak 96/a dikili</t>
  </si>
  <si>
    <t>11156338008</t>
  </si>
  <si>
    <t>7dec1c38-65b2-4b60-8baa-47a30da9271d</t>
  </si>
  <si>
    <t>1133</t>
  </si>
  <si>
    <t>Aysun</t>
  </si>
  <si>
    <t>Şahin</t>
  </si>
  <si>
    <t>2026-02-15 23:19</t>
  </si>
  <si>
    <t>2026-02-15 22:50</t>
  </si>
  <si>
    <t>Seğmenler mah.3250.cad.doruk park sitesi no:11/3,Gölbaşı Ankara</t>
  </si>
  <si>
    <t>06830</t>
  </si>
  <si>
    <t>Gölbaşı</t>
  </si>
  <si>
    <t>21241812764</t>
  </si>
  <si>
    <t>a2680f98-18f5-4805-bee3-1b08fff3d6f2</t>
  </si>
  <si>
    <t>Somon Şiş Sebzeli 180 Gr.</t>
  </si>
  <si>
    <t>1.20.07.01.0002</t>
  </si>
  <si>
    <t>Pişmiş Ürünler Paketi</t>
  </si>
  <si>
    <t>22012026000</t>
  </si>
  <si>
    <t>1132</t>
  </si>
  <si>
    <t>2026-02-14 14:55</t>
  </si>
  <si>
    <t>2026-02-14 14:46</t>
  </si>
  <si>
    <t>6d11ecf4-d296-4cd0-819d-6b265293ad69</t>
  </si>
  <si>
    <t>1131</t>
  </si>
  <si>
    <t>umut</t>
  </si>
  <si>
    <t>eşki</t>
  </si>
  <si>
    <t>2026-02-14 12:18</t>
  </si>
  <si>
    <t>2026-02-14 12:15</t>
  </si>
  <si>
    <t>Harbiye Mah. Vali Sami Oytun Cad. No:11 Nano</t>
  </si>
  <si>
    <t>Paso peron kafe bar org san tic ltd şti</t>
  </si>
  <si>
    <t>Hatay</t>
  </si>
  <si>
    <t>31000</t>
  </si>
  <si>
    <t>Defne</t>
  </si>
  <si>
    <t>+905321555545</t>
  </si>
  <si>
    <t>7230809870</t>
  </si>
  <si>
    <t>Şükrü Kanatlı</t>
  </si>
  <si>
    <t>30388698230</t>
  </si>
  <si>
    <t>ff59f0e2-169e-4826-a46a-c2e3d45f1cf2</t>
  </si>
  <si>
    <t>1130</t>
  </si>
  <si>
    <t>2026-02-12 21:36</t>
  </si>
  <si>
    <t>2026-02-12 21:25</t>
  </si>
  <si>
    <t>e4bbfe35-e1c5-4b32-9690-f5fc36164439</t>
  </si>
  <si>
    <t>Balık Çorbası 300 Gr.</t>
  </si>
  <si>
    <t>1.20.10.01.0003</t>
  </si>
  <si>
    <t>1129</t>
  </si>
  <si>
    <t>Burhan</t>
  </si>
  <si>
    <t>2026-02-12 16:37</t>
  </si>
  <si>
    <t>2026-02-12 16:18</t>
  </si>
  <si>
    <t>Kazım Dirik mah.  Foça İzmir Karayolu 124/A Foça izmir</t>
  </si>
  <si>
    <t>Foça Gurme</t>
  </si>
  <si>
    <t>35680</t>
  </si>
  <si>
    <t>Foça</t>
  </si>
  <si>
    <t>+905354387050</t>
  </si>
  <si>
    <t>55873065076</t>
  </si>
  <si>
    <t>7c82366a-5c11-4860-a0ca-cde7ce91b577</t>
  </si>
  <si>
    <t>Marine Domates 1000 Gr.</t>
  </si>
  <si>
    <t>1.20.01.15.1000</t>
  </si>
  <si>
    <t>1128</t>
  </si>
  <si>
    <t>2026-02-12 15:22</t>
  </si>
  <si>
    <t>2026-02-12 15:15</t>
  </si>
  <si>
    <t>ibrahim Sert</t>
  </si>
  <si>
    <t>fener mahallesi 1968 sokak no:37/1</t>
  </si>
  <si>
    <t>Kuzey apt</t>
  </si>
  <si>
    <t xml:space="preserve">Bi Meze </t>
  </si>
  <si>
    <t>Kalekapı</t>
  </si>
  <si>
    <t>a9717c2d-a03a-4141-902d-b7e11f6c8fdf</t>
  </si>
  <si>
    <t>1127</t>
  </si>
  <si>
    <t>ERSİN</t>
  </si>
  <si>
    <t>UTGUN</t>
  </si>
  <si>
    <t>2026-02-11 18:25</t>
  </si>
  <si>
    <t>2026-01-15 22:35</t>
  </si>
  <si>
    <t>ersin utgun</t>
  </si>
  <si>
    <t>Kartaltepe Mahallesi</t>
  </si>
  <si>
    <t>Selim Paşa Caddesi No 104 D 3</t>
  </si>
  <si>
    <t xml:space="preserve">Medusa Apart Hotel </t>
  </si>
  <si>
    <t>34040</t>
  </si>
  <si>
    <t>Bayrampaşa</t>
  </si>
  <si>
    <t>8970331113</t>
  </si>
  <si>
    <t xml:space="preserve">Beyoğlu </t>
  </si>
  <si>
    <t>29798508468</t>
  </si>
  <si>
    <t>5d9be184-9328-46bf-a86b-59aa619c8cab</t>
  </si>
  <si>
    <t>Marine Midye Füme 200 Gr.</t>
  </si>
  <si>
    <t>1.20.01.17.0200</t>
  </si>
  <si>
    <t>1126</t>
  </si>
  <si>
    <t>Vedat</t>
  </si>
  <si>
    <t>Çelik</t>
  </si>
  <si>
    <t>2026-02-10 17:01</t>
  </si>
  <si>
    <t>2026-02-08 11:32</t>
  </si>
  <si>
    <t>Mahmut Çelik</t>
  </si>
  <si>
    <t>Akkent mahallesi 13 nolu cadde no:54 G/A (akkent taksi durağı karşısı)</t>
  </si>
  <si>
    <t>27470</t>
  </si>
  <si>
    <t>Şahinbey</t>
  </si>
  <si>
    <t>56449530714</t>
  </si>
  <si>
    <t>464e3bb6-d3fa-4a25-9b0d-53b011477cf1</t>
  </si>
  <si>
    <t>1125</t>
  </si>
  <si>
    <t>Pakize</t>
  </si>
  <si>
    <t>Tiryaki</t>
  </si>
  <si>
    <t>2026-02-09 15:40</t>
  </si>
  <si>
    <t>2026-01-14 15:23</t>
  </si>
  <si>
    <t>Güllük mah. 276 sok. No.2/3</t>
  </si>
  <si>
    <t xml:space="preserve">Padu Butik Cafe </t>
  </si>
  <si>
    <t>48670</t>
  </si>
  <si>
    <t>Milas</t>
  </si>
  <si>
    <t>18544372026</t>
  </si>
  <si>
    <t>6f78581f-d8e0-41a9-b7d7-6bd7ce2682d4</t>
  </si>
  <si>
    <t>1124</t>
  </si>
  <si>
    <t>2026-02-09 13:04</t>
  </si>
  <si>
    <t>2026-02-07 16:42</t>
  </si>
  <si>
    <t>82f05d59-0375-4517-a9fb-cd93094925b4</t>
  </si>
  <si>
    <t>1123</t>
  </si>
  <si>
    <t>Yun chia</t>
  </si>
  <si>
    <t>Aydin</t>
  </si>
  <si>
    <t>2026-02-09 06:06</t>
  </si>
  <si>
    <t>2026-01-02 02:40</t>
  </si>
  <si>
    <t>Adalet Mahallesi</t>
  </si>
  <si>
    <t>Hasan Uğurlu Sokak No. 26 Özkan Apt. K 4 D 11</t>
  </si>
  <si>
    <t>Samsun</t>
  </si>
  <si>
    <t>55060</t>
  </si>
  <si>
    <t>İlkadım</t>
  </si>
  <si>
    <t>5070497688</t>
  </si>
  <si>
    <t>75808026804</t>
  </si>
  <si>
    <t>c16cd0aa-f04a-4ff4-88fe-99fc265075e0</t>
  </si>
  <si>
    <t>1122</t>
  </si>
  <si>
    <t>2026-02-08 11:51</t>
  </si>
  <si>
    <t>2026-02-08 11:50</t>
  </si>
  <si>
    <t>Akkent mahallesi 134016 Asce Çamlıca Sitesi A blok 4. Kat no 13</t>
  </si>
  <si>
    <t>5edfe89c-c2e7-42f9-8f5d-bb3e6b4d7a90</t>
  </si>
  <si>
    <t>1121</t>
  </si>
  <si>
    <t>2026-02-07 13:58</t>
  </si>
  <si>
    <t>2026-02-07 13:28</t>
  </si>
  <si>
    <t>802148b5-d548-4dff-8f79-05b9a1057f6a</t>
  </si>
  <si>
    <t>1120</t>
  </si>
  <si>
    <t>2026-02-05 16:15</t>
  </si>
  <si>
    <t>2026-02-05 16:10</t>
  </si>
  <si>
    <t xml:space="preserve">Tabaklar mah. Uygur sk. no 5A </t>
  </si>
  <si>
    <t>14030</t>
  </si>
  <si>
    <t>4575a6a1-1219-44a2-abf1-55211f0c4c69</t>
  </si>
  <si>
    <t>1119</t>
  </si>
  <si>
    <t xml:space="preserve">Ömer Alper </t>
  </si>
  <si>
    <t xml:space="preserve">Özsoy </t>
  </si>
  <si>
    <t>2026-02-05 09:21</t>
  </si>
  <si>
    <t>2026-02-05 09:16</t>
  </si>
  <si>
    <t xml:space="preserve">Ömer Alper Özsoy </t>
  </si>
  <si>
    <t>Mimarsinan Mh. Fuzuli Cd. No:12, Fevziçakmak Türk Telekom Binası, Kat 1, Kocasinan/Kayseri</t>
  </si>
  <si>
    <t>Kayseri</t>
  </si>
  <si>
    <t>38020</t>
  </si>
  <si>
    <t>Kocasinan</t>
  </si>
  <si>
    <t>+905074451062</t>
  </si>
  <si>
    <t>24758186786</t>
  </si>
  <si>
    <t>93d00915-2655-4812-aea5-c1fa2eda673f</t>
  </si>
  <si>
    <t>1118</t>
  </si>
  <si>
    <t>Mecit Kamil</t>
  </si>
  <si>
    <t>SARAÇOĞLU</t>
  </si>
  <si>
    <t>2026-02-04 12:23</t>
  </si>
  <si>
    <t>2026-02-04 12:08</t>
  </si>
  <si>
    <t>Zekeriyaköy ,Acarlar Sitesi E-11 Blok Daire:9</t>
  </si>
  <si>
    <t>E-11 Blok D:9</t>
  </si>
  <si>
    <t>50671175248</t>
  </si>
  <si>
    <t>7f6e9a19-6579-4091-be23-bd610d3bf138</t>
  </si>
  <si>
    <t>1117</t>
  </si>
  <si>
    <t>2026-02-03 23:59</t>
  </si>
  <si>
    <t>2026-02-03 23:57</t>
  </si>
  <si>
    <t>83cc3d2c-4736-4eea-b211-6b84264790fb</t>
  </si>
  <si>
    <t>1116</t>
  </si>
  <si>
    <t>Arslan</t>
  </si>
  <si>
    <t>Tanış</t>
  </si>
  <si>
    <t>2026-02-03 21:14</t>
  </si>
  <si>
    <t>2026-02-03 21:09</t>
  </si>
  <si>
    <t xml:space="preserve">Kale Mahallesi Hüyük Caddesi </t>
  </si>
  <si>
    <t>Olcay Apartmanı No:69/20 Kat:4</t>
  </si>
  <si>
    <t>Çorum</t>
  </si>
  <si>
    <t>19200</t>
  </si>
  <si>
    <t>33646279202</t>
  </si>
  <si>
    <t>b59d83ea-6a2e-4b67-a151-e2cb641d9f44</t>
  </si>
  <si>
    <t>1115</t>
  </si>
  <si>
    <t>ADNAN</t>
  </si>
  <si>
    <t>ÖZCAN</t>
  </si>
  <si>
    <t>2026-02-01 16:56</t>
  </si>
  <si>
    <t>2025-11-01 11:23</t>
  </si>
  <si>
    <t>Esin ÖZCAN</t>
  </si>
  <si>
    <t>bostancı mah. eminalipaşa cad. no:120/dükkan no:2 (TARİHİ ORTAKÖY KUMPİRCİSİ)</t>
  </si>
  <si>
    <t>APT NO 120. DÜKKAN NO 2</t>
  </si>
  <si>
    <t>ESİN ÖZCAN</t>
  </si>
  <si>
    <t>34000</t>
  </si>
  <si>
    <t>3613668261</t>
  </si>
  <si>
    <t>erenköy</t>
  </si>
  <si>
    <t>36136682612</t>
  </si>
  <si>
    <t>aee7e8e9-4093-4644-8e85-dee94abacf8d</t>
  </si>
  <si>
    <t>1114</t>
  </si>
  <si>
    <t>2026-01-29 18:52</t>
  </si>
  <si>
    <t>2026-01-12 17:24</t>
  </si>
  <si>
    <t>98e4dc09-dc10-41b6-840c-dd8f6dad642a</t>
  </si>
  <si>
    <t>1113</t>
  </si>
  <si>
    <t>2026-01-29 13:02</t>
  </si>
  <si>
    <t>2026-01-29 12:45</t>
  </si>
  <si>
    <t>f0578bd3-2d61-4b5a-b800-1803277e178b</t>
  </si>
  <si>
    <t>1112</t>
  </si>
  <si>
    <t>2026-01-29 10:34</t>
  </si>
  <si>
    <t>2026-01-29 10:27</t>
  </si>
  <si>
    <t>d2a92977-4b24-4d68-8d17-e0f48a391d17</t>
  </si>
  <si>
    <t>1111</t>
  </si>
  <si>
    <t>ulaş</t>
  </si>
  <si>
    <t>işibol</t>
  </si>
  <si>
    <t>2026-01-28 10:58</t>
  </si>
  <si>
    <t>2026-01-28 10:55</t>
  </si>
  <si>
    <t>Dağlıoğlu mahallesi 14019</t>
  </si>
  <si>
    <t>1</t>
  </si>
  <si>
    <t>01040</t>
  </si>
  <si>
    <t>Sarıçam</t>
  </si>
  <si>
    <t>+905465622038</t>
  </si>
  <si>
    <t>18577145604</t>
  </si>
  <si>
    <t>3e2a3685-d91e-46c2-b897-3477f7c4326b</t>
  </si>
  <si>
    <t>sedefhanim95</t>
  </si>
  <si>
    <t>1110</t>
  </si>
  <si>
    <t>Özkan</t>
  </si>
  <si>
    <t>2026-01-27 21:17</t>
  </si>
  <si>
    <t>2026-01-27 21:10</t>
  </si>
  <si>
    <t>Ptt evleri mahallesi Zübeyde hanım ilköğretim okulu Okul Caddesi No  19 a1sariyer istanbul</t>
  </si>
  <si>
    <t>Zemin kat</t>
  </si>
  <si>
    <t>34100</t>
  </si>
  <si>
    <t>05395923965</t>
  </si>
  <si>
    <t>43207681214</t>
  </si>
  <si>
    <t>bcc1fed5-55b4-4641-8b91-9650708924bf</t>
  </si>
  <si>
    <t>1109</t>
  </si>
  <si>
    <t>Ayfer</t>
  </si>
  <si>
    <t>Hüdaverdi</t>
  </si>
  <si>
    <t>2026-01-27 13:45</t>
  </si>
  <si>
    <t>2026-01-27 13:40</t>
  </si>
  <si>
    <t xml:space="preserve">Ayfer Hüdaverdİ </t>
  </si>
  <si>
    <t>Profesör Ekrem akurgal caddesi no 17A Bayraklı sevgi yolu Bayraklı balık pisiricisi 1643 sokak no 17A</t>
  </si>
  <si>
    <t>35500</t>
  </si>
  <si>
    <t>Bayraklı</t>
  </si>
  <si>
    <t>51601227532</t>
  </si>
  <si>
    <t>Sipariş Aktarıldı,Kargo Etiketi Yazdırıldı</t>
  </si>
  <si>
    <t>7afe141e-7781-4fef-b800-6d45934a0e9d</t>
  </si>
  <si>
    <t>1108</t>
  </si>
  <si>
    <t>2026-01-26 17:24</t>
  </si>
  <si>
    <t>2026-01-23 22:40</t>
  </si>
  <si>
    <t>702170f5-a417-41d8-9684-ff33efa5b2a3</t>
  </si>
  <si>
    <t>1107</t>
  </si>
  <si>
    <t xml:space="preserve">Bahadır </t>
  </si>
  <si>
    <t xml:space="preserve">AYDIN </t>
  </si>
  <si>
    <t>2026-01-22 19:26</t>
  </si>
  <si>
    <t>2026-01-22 18:55</t>
  </si>
  <si>
    <t xml:space="preserve">Ragıp Tüzün Caddesi 143-C </t>
  </si>
  <si>
    <t>06170</t>
  </si>
  <si>
    <t>Yenimahalle</t>
  </si>
  <si>
    <t>24320160244</t>
  </si>
  <si>
    <t>2db6787a-5005-4673-b603-c0f46107f31d</t>
  </si>
  <si>
    <t>1106</t>
  </si>
  <si>
    <t>Nazmi</t>
  </si>
  <si>
    <t>Yürük</t>
  </si>
  <si>
    <t>2026-01-21 20:03</t>
  </si>
  <si>
    <t>2026-01-21 19:42</t>
  </si>
  <si>
    <t>Nazmi  Yürük</t>
  </si>
  <si>
    <t>Yukarıkayabaşı Mah. Cicibaba Sk. Yavuz Çayır İş Merkezi Altı PİA BALIK</t>
  </si>
  <si>
    <t>PİA BALIK</t>
  </si>
  <si>
    <t>Niğde</t>
  </si>
  <si>
    <t>51000</t>
  </si>
  <si>
    <t>9950119105</t>
  </si>
  <si>
    <t>Niğde/MERKEZ</t>
  </si>
  <si>
    <t>60571243558</t>
  </si>
  <si>
    <t>e757e0b7-6c6c-4c0d-8caa-5a204e35271c</t>
  </si>
  <si>
    <t>Mezgit Fileto Donuk (Orijinal Koli 3X9 Kg)</t>
  </si>
  <si>
    <t>1.20.06.02.0001</t>
  </si>
  <si>
    <t>1105</t>
  </si>
  <si>
    <t>Yasemin</t>
  </si>
  <si>
    <t>Yayla</t>
  </si>
  <si>
    <t>2026-01-21 16:47</t>
  </si>
  <si>
    <t>2026-01-20 01:17</t>
  </si>
  <si>
    <t>Adnan Kahveci Mah. Özgür Sok . No : 14 Daire 8 Kat 2</t>
  </si>
  <si>
    <t>Dağlar apt.</t>
  </si>
  <si>
    <t>34528</t>
  </si>
  <si>
    <t>Çekmeköy</t>
  </si>
  <si>
    <t>21832418054</t>
  </si>
  <si>
    <t>455a97d2-5779-4bee-a843-df56509dca49</t>
  </si>
  <si>
    <t>1104</t>
  </si>
  <si>
    <t>Kocagöz</t>
  </si>
  <si>
    <t>2026-01-21 13:38</t>
  </si>
  <si>
    <t>2026-01-19 13:27</t>
  </si>
  <si>
    <t>Yeni Mahalle Fethi Bey Caddesi 14 Kat 2 Daire 9</t>
  </si>
  <si>
    <t>10600</t>
  </si>
  <si>
    <t>Susurluk</t>
  </si>
  <si>
    <t>36139724746</t>
  </si>
  <si>
    <t>5aa29711-3be4-42bb-9339-1cb47d1d4ba2</t>
  </si>
  <si>
    <t>1103</t>
  </si>
  <si>
    <t>Ulaş</t>
  </si>
  <si>
    <t>İşibol</t>
  </si>
  <si>
    <t>2026-01-21 12:09</t>
  </si>
  <si>
    <t>2026-01-21 12:07</t>
  </si>
  <si>
    <t>ADANA/SEYHAN</t>
  </si>
  <si>
    <t>DAĞLIOĞLU MAHALLESİ 14019 SOKAK NO: 53</t>
  </si>
  <si>
    <t>Seyhan</t>
  </si>
  <si>
    <t>8e1b4796-71fb-4445-be33-09edc13012cb</t>
  </si>
  <si>
    <t>1102</t>
  </si>
  <si>
    <t>2026-01-21 11:56</t>
  </si>
  <si>
    <t>2026-01-21 11:54</t>
  </si>
  <si>
    <t>Tufanbeyli</t>
  </si>
  <si>
    <t>f8a5cb42-2a14-4ec2-96fe-89d49f6a7a27</t>
  </si>
  <si>
    <t>1101</t>
  </si>
  <si>
    <t>2026-01-21 10:28</t>
  </si>
  <si>
    <t>2026-01-21 10:23</t>
  </si>
  <si>
    <t>e37b4ed6-1181-4516-a498-7c31e385536e</t>
  </si>
  <si>
    <t>1100</t>
  </si>
  <si>
    <t>2026-01-20 17:27</t>
  </si>
  <si>
    <t>2026-01-18 20:46</t>
  </si>
  <si>
    <t>c17bdf96-3693-4b61-af01-927096d813ce</t>
  </si>
  <si>
    <t>1099</t>
  </si>
  <si>
    <t>2026-01-20 15:07</t>
  </si>
  <si>
    <t>2026-01-19 16:00</t>
  </si>
  <si>
    <t>0547389c-3a07-4a28-9d10-9af0545eb6a5</t>
  </si>
  <si>
    <t>1098</t>
  </si>
  <si>
    <t>2026-01-20 09:38</t>
  </si>
  <si>
    <t>2026-01-19 20:39</t>
  </si>
  <si>
    <t>f352aec6-3067-49b5-acc5-17d6c902793b</t>
  </si>
  <si>
    <t>1097</t>
  </si>
  <si>
    <t>2026-01-20 00:49</t>
  </si>
  <si>
    <t>2026-01-20 00:24</t>
  </si>
  <si>
    <t>b6db4d4f-3a13-45b7-afe7-519410096771</t>
  </si>
  <si>
    <t>1096</t>
  </si>
  <si>
    <t>zafer</t>
  </si>
  <si>
    <t>özkara</t>
  </si>
  <si>
    <t>2026-01-17 16:35</t>
  </si>
  <si>
    <t>2026-01-17 16:32</t>
  </si>
  <si>
    <t>istasyon mahallesi çamlık sokak no.18</t>
  </si>
  <si>
    <t>paradise hotel</t>
  </si>
  <si>
    <t>özkara otelcilik turizm inşaat oto.san.tic.ltd.şti</t>
  </si>
  <si>
    <t>Zonguldak</t>
  </si>
  <si>
    <t>67900</t>
  </si>
  <si>
    <t>Çaycuma</t>
  </si>
  <si>
    <t>+905326832230</t>
  </si>
  <si>
    <t>6980459132</t>
  </si>
  <si>
    <t>ÇAYCUMA</t>
  </si>
  <si>
    <t>17324880676</t>
  </si>
  <si>
    <t>0795a167-9f32-4b55-9933-145a128bfe00</t>
  </si>
  <si>
    <t>1095</t>
  </si>
  <si>
    <t>murat</t>
  </si>
  <si>
    <t>kuşcu</t>
  </si>
  <si>
    <t>2026-01-16 15:58</t>
  </si>
  <si>
    <t>2026-01-09 13:37</t>
  </si>
  <si>
    <t>Murat  Kuşcu</t>
  </si>
  <si>
    <t xml:space="preserve">Dalyan köyü ezine Çanakkale </t>
  </si>
  <si>
    <t>17610</t>
  </si>
  <si>
    <t>Ezine</t>
  </si>
  <si>
    <t>24472529982</t>
  </si>
  <si>
    <t>143874c2-d195-45b1-9a60-79f2fbde249b</t>
  </si>
  <si>
    <t>1094</t>
  </si>
  <si>
    <t>SOYER</t>
  </si>
  <si>
    <t>2026-01-16 00:49</t>
  </si>
  <si>
    <t>2025-11-22 00:55</t>
  </si>
  <si>
    <t>Şeyhosman mah. Cemil Çiçek cad. Çemsan Sitesi. B-Blok Kat:6 No:16</t>
  </si>
  <si>
    <t>Yozgat</t>
  </si>
  <si>
    <t>66200</t>
  </si>
  <si>
    <t>19559792816</t>
  </si>
  <si>
    <t>e928f93a-aa72-4d80-8fbd-bf126c101b23</t>
  </si>
  <si>
    <t>1093</t>
  </si>
  <si>
    <t>2026-01-14 21:31</t>
  </si>
  <si>
    <t>2026-01-14 21:25</t>
  </si>
  <si>
    <t>fantazmagori kitchen</t>
  </si>
  <si>
    <t>a55f9bf4-eef5-47a8-b02e-560e9ef862af</t>
  </si>
  <si>
    <t>1092</t>
  </si>
  <si>
    <t>Ammar</t>
  </si>
  <si>
    <t>Al saadi</t>
  </si>
  <si>
    <t>2026-01-14 15:30</t>
  </si>
  <si>
    <t>2026-01-12 15:46</t>
  </si>
  <si>
    <t>Yalova merkez, kadikoy merkez, Termal Yolu, ufuk sitesinden  sonraki sagdan en tepedeki ev,  bati sirti 10 sokak, ev 3 , 1</t>
  </si>
  <si>
    <t>Yalova</t>
  </si>
  <si>
    <t>77220</t>
  </si>
  <si>
    <t>99438187964</t>
  </si>
  <si>
    <t>c9104b06-be6a-4c94-9666-413d3cccc146</t>
  </si>
  <si>
    <t>1091</t>
  </si>
  <si>
    <t>2026-01-13 17:16</t>
  </si>
  <si>
    <t>2026-01-12 16:57</t>
  </si>
  <si>
    <t>c913cd53-5724-428d-a02b-5973b08c31c1</t>
  </si>
  <si>
    <t>1090</t>
  </si>
  <si>
    <t>Sezai</t>
  </si>
  <si>
    <t>Şenel</t>
  </si>
  <si>
    <t>2026-01-10 14:43</t>
  </si>
  <si>
    <t>2026-01-10 13:33</t>
  </si>
  <si>
    <t>Pişmiş Somon 120 Gr. Baharatlı</t>
  </si>
  <si>
    <t>1.20.07.04.0001</t>
  </si>
  <si>
    <t>Yukari dudullu mah.egemen sk.</t>
  </si>
  <si>
    <t>Özbek ap.no:20/1.</t>
  </si>
  <si>
    <t>34764</t>
  </si>
  <si>
    <t>Ümraniye</t>
  </si>
  <si>
    <t>23272826406</t>
  </si>
  <si>
    <t>0a50d726-9dd7-4d2c-99a1-fcceec1952be</t>
  </si>
  <si>
    <t>1089</t>
  </si>
  <si>
    <t>Leyla</t>
  </si>
  <si>
    <t>Sivaslıoglu</t>
  </si>
  <si>
    <t>2026-01-08 17:05</t>
  </si>
  <si>
    <t>ücretsiz</t>
  </si>
  <si>
    <t>2026-01-06 17:21</t>
  </si>
  <si>
    <t xml:space="preserve">Leyla  Sivaslıoğlu </t>
  </si>
  <si>
    <t xml:space="preserve">Umurbey MH Yalova Yolu CD Bağkur sanayi sitesi no14g gemlik bursa </t>
  </si>
  <si>
    <t>Leyla Sivaslıoğlu</t>
  </si>
  <si>
    <t>Bursa</t>
  </si>
  <si>
    <t>16600</t>
  </si>
  <si>
    <t>Gemlik</t>
  </si>
  <si>
    <t>5110232273</t>
  </si>
  <si>
    <t>48451728616</t>
  </si>
  <si>
    <t xml:space="preserve">Orhaniye Mahallesi Kayikhane Sk no 16A Gemli̇k Bursa </t>
  </si>
  <si>
    <t>b770655e-fd19-4817-916a-912652e143d5</t>
  </si>
  <si>
    <t>Marine Hamsi Soslu 200 Gr.</t>
  </si>
  <si>
    <t>1.20.01.02.0200</t>
  </si>
  <si>
    <t>1088</t>
  </si>
  <si>
    <t>Recep</t>
  </si>
  <si>
    <t>Taşçi</t>
  </si>
  <si>
    <t>2026-01-07 19:02</t>
  </si>
  <si>
    <t>2026-01-07 18:58</t>
  </si>
  <si>
    <t>Çakmak Mahallesi</t>
  </si>
  <si>
    <t>Özduru Sokak NO.31 Da.5</t>
  </si>
  <si>
    <t>34774</t>
  </si>
  <si>
    <t>54805467032</t>
  </si>
  <si>
    <t>7e3a5984-e631-491d-863d-1751cde00f66</t>
  </si>
  <si>
    <t>1087</t>
  </si>
  <si>
    <t xml:space="preserve">MUHTEŞEM ÜNSAL </t>
  </si>
  <si>
    <t>MUHTEŞEM</t>
  </si>
  <si>
    <t xml:space="preserve">ÜNSAL </t>
  </si>
  <si>
    <t>2026-01-07 14:58</t>
  </si>
  <si>
    <t>2026-01-07 14:43</t>
  </si>
  <si>
    <t xml:space="preserve">HOCAPAŞA MAH.HUDAVENDİGAR CAD.NO:23 FATİH </t>
  </si>
  <si>
    <t>BİNA</t>
  </si>
  <si>
    <t>BIRAKO TURİZM OTEL GIDA İNŞ.SAN.VE TİC.LTD.ŞTİ.</t>
  </si>
  <si>
    <t>34110</t>
  </si>
  <si>
    <t>Fatih</t>
  </si>
  <si>
    <t>1680533226</t>
  </si>
  <si>
    <t>HOCAPAŞA</t>
  </si>
  <si>
    <t>27842310456</t>
  </si>
  <si>
    <t>357d5933-2adb-490d-8282-2e31282f6394</t>
  </si>
  <si>
    <t>1086</t>
  </si>
  <si>
    <t>Seherin</t>
  </si>
  <si>
    <t>Mutfağı</t>
  </si>
  <si>
    <t>2026-01-05 14:14</t>
  </si>
  <si>
    <t>2026-01-05 14:08</t>
  </si>
  <si>
    <t>Cumhuriyet mahallesi cumhuriyet caddesi no 164/b</t>
  </si>
  <si>
    <t>SEHERİN MUTFAĞI</t>
  </si>
  <si>
    <t>Aydın</t>
  </si>
  <si>
    <t>09270</t>
  </si>
  <si>
    <t>Didim</t>
  </si>
  <si>
    <t>57187110718</t>
  </si>
  <si>
    <t>445e9d0e-c254-4431-95d4-a4f89483772c</t>
  </si>
  <si>
    <t>1085</t>
  </si>
  <si>
    <t>Olga</t>
  </si>
  <si>
    <t>Sarica</t>
  </si>
  <si>
    <t>2026-01-04 10:34</t>
  </si>
  <si>
    <t>2026-01-04 10:27</t>
  </si>
  <si>
    <t>Cumhuriyet mah . Atatürk bul. Bizimkent site güvenlik 2 .blok A08 daire 29 kat 5</t>
  </si>
  <si>
    <t>A08 Blok.d.29 Bizimkent</t>
  </si>
  <si>
    <t>34520</t>
  </si>
  <si>
    <t>Beylikdüzü</t>
  </si>
  <si>
    <t>54247263216</t>
  </si>
  <si>
    <t>84556540-5daa-4730-8c79-64bca83807b5</t>
  </si>
  <si>
    <t>1084</t>
  </si>
  <si>
    <t>2025-12-29 22:12</t>
  </si>
  <si>
    <t>2025-12-27 02:57</t>
  </si>
  <si>
    <t>d7dbb503-3fda-46e0-b206-153f1355d12a</t>
  </si>
  <si>
    <t>1083</t>
  </si>
  <si>
    <t>2025-12-26 09:51</t>
  </si>
  <si>
    <t>2025-12-22 09:52</t>
  </si>
  <si>
    <t>931ea7d1-0413-4134-9315-c36131ce2b92</t>
  </si>
  <si>
    <t>1082</t>
  </si>
  <si>
    <t>2025-12-25 10:01</t>
  </si>
  <si>
    <t>2025-12-25 09:52</t>
  </si>
  <si>
    <t>2eae2631-16cf-40fc-b0d0-05ba12ea8444</t>
  </si>
  <si>
    <t>Somon Füme Donuk Dilimli 100 Gr.</t>
  </si>
  <si>
    <t>1.20.07.03.0003</t>
  </si>
  <si>
    <t>1081</t>
  </si>
  <si>
    <t>oben</t>
  </si>
  <si>
    <t>cankardaş</t>
  </si>
  <si>
    <t>2025-12-22 13:59</t>
  </si>
  <si>
    <t>2025-12-22 13:55</t>
  </si>
  <si>
    <t>efeler mahallesi   2250 sokak no 13/b SEPETTE GASTRONOMİ KATALOĞU</t>
  </si>
  <si>
    <t>live cloud kitchen yiyecek içecek üretimi ltd.şti.</t>
  </si>
  <si>
    <t>09100</t>
  </si>
  <si>
    <t>Efeler</t>
  </si>
  <si>
    <t>6091422324</t>
  </si>
  <si>
    <t>19283489914</t>
  </si>
  <si>
    <t>b6ce5fde-7abc-4121-819e-bfc470777b9a</t>
  </si>
  <si>
    <t>1080</t>
  </si>
  <si>
    <t>Elif</t>
  </si>
  <si>
    <t>Denizaslanı</t>
  </si>
  <si>
    <t>2025-12-22 12:28</t>
  </si>
  <si>
    <t>2025-10-31 16:27</t>
  </si>
  <si>
    <t>Atatürk Mah. 98. Sokak 1/1</t>
  </si>
  <si>
    <t>42268527950</t>
  </si>
  <si>
    <t>c1686b88-d67d-4936-b660-e653a72fdfa9</t>
  </si>
  <si>
    <t>Marine Hamsi Füme 200 Gr.</t>
  </si>
  <si>
    <t>1.20.01.04.0200</t>
  </si>
  <si>
    <t>1079</t>
  </si>
  <si>
    <t>2025-12-21 23:45</t>
  </si>
  <si>
    <t>2025-12-21 15:17</t>
  </si>
  <si>
    <t>58aaa9b8-88e8-4807-ae08-9c64b208d091</t>
  </si>
  <si>
    <t>1078</t>
  </si>
  <si>
    <t>2025-12-20 18:38</t>
  </si>
  <si>
    <t>2025-12-13 23:18</t>
  </si>
  <si>
    <t xml:space="preserve">Büyükkum mahallesi Denizbüyükkum caddesi </t>
  </si>
  <si>
    <t>A blok no 10/B</t>
  </si>
  <si>
    <t>ec956406-b8b2-4ea2-b6b2-fa3d7b170e09</t>
  </si>
  <si>
    <t>1077</t>
  </si>
  <si>
    <t>Selim</t>
  </si>
  <si>
    <t>Yavuz</t>
  </si>
  <si>
    <t>2025-12-20 18:21</t>
  </si>
  <si>
    <t>2025-12-20 17:48</t>
  </si>
  <si>
    <t xml:space="preserve">Cennetayagi Mah. Teyyareci Hasan Cad. 21 Daire 3 </t>
  </si>
  <si>
    <t xml:space="preserve">Appartment </t>
  </si>
  <si>
    <t>26752502548</t>
  </si>
  <si>
    <t>f019c50f-682c-49c0-a86e-c20611cfdd23</t>
  </si>
  <si>
    <t>1076</t>
  </si>
  <si>
    <t>MASTERS UNLU MAMÜLLER</t>
  </si>
  <si>
    <t>GIDA TICARET LTD. ŞTİ.</t>
  </si>
  <si>
    <t>2025-12-19 17:05</t>
  </si>
  <si>
    <t>2025-12-19 16:55</t>
  </si>
  <si>
    <t>LETICIA MASTERS UNLU MAMÜLLERİ</t>
  </si>
  <si>
    <t>Mimar Sinan Mh. Uncular Cd. No:12/A</t>
  </si>
  <si>
    <t>MASTERS UNLU MAMÜLLER GIDA TİC. LTD. ŞTİ.</t>
  </si>
  <si>
    <t>34660</t>
  </si>
  <si>
    <t>Üsküdar</t>
  </si>
  <si>
    <t>6132041039</t>
  </si>
  <si>
    <t>ÜSKÜDAR</t>
  </si>
  <si>
    <t>15010194854</t>
  </si>
  <si>
    <t>222c8708-e93a-4551-8196-a102211e3838</t>
  </si>
  <si>
    <t>1075</t>
  </si>
  <si>
    <t>2025-12-19 12:37</t>
  </si>
  <si>
    <t>2025-12-17 19:29</t>
  </si>
  <si>
    <t>f634aee8-808c-49d7-81fb-7920cdcc7022</t>
  </si>
  <si>
    <t>1074</t>
  </si>
  <si>
    <t>2025-12-18 22:12</t>
  </si>
  <si>
    <t>2025-12-18 22:00</t>
  </si>
  <si>
    <t>Alladdin mah eski ptt cad no 2 gelibolu sardalya</t>
  </si>
  <si>
    <t xml:space="preserve">Gelibolu sardalya </t>
  </si>
  <si>
    <t>+905446016619</t>
  </si>
  <si>
    <t>258e1bf0-69c8-4c6b-a364-9ae142dcf9f2</t>
  </si>
  <si>
    <t>1073</t>
  </si>
  <si>
    <t>ENBERİ</t>
  </si>
  <si>
    <t>CAFE</t>
  </si>
  <si>
    <t>2025-12-18 11:43</t>
  </si>
  <si>
    <t>2025-12-18 11:31</t>
  </si>
  <si>
    <t>enberi cafe</t>
  </si>
  <si>
    <t>OBA MAH. OER-ERKENSWİCK CAD. ENBERİ RESTORANT NO:2</t>
  </si>
  <si>
    <t>DEMİRAĞ APARTMANI</t>
  </si>
  <si>
    <t>07400</t>
  </si>
  <si>
    <t>Alanya</t>
  </si>
  <si>
    <t>56308131748</t>
  </si>
  <si>
    <t>d65e2e57-e1d1-4af5-ab59-2ae62ea4269f</t>
  </si>
  <si>
    <t>1072</t>
  </si>
  <si>
    <t>Özgür</t>
  </si>
  <si>
    <t>Erbil</t>
  </si>
  <si>
    <t>2025-12-17 12:10</t>
  </si>
  <si>
    <t>2025-12-17 12:03</t>
  </si>
  <si>
    <t>Varuna Gezgin</t>
  </si>
  <si>
    <t>Kılınçarslan mah. hamam çıkmazı sok. 2/0</t>
  </si>
  <si>
    <t>0</t>
  </si>
  <si>
    <t>Siyah Yatırım Org. Tur. İnş. Tic. Ltd. Şti</t>
  </si>
  <si>
    <t>00007</t>
  </si>
  <si>
    <t>+905547716583</t>
  </si>
  <si>
    <t>6450333128</t>
  </si>
  <si>
    <t>47161891108</t>
  </si>
  <si>
    <t>8a9c4f66-ed5b-4e26-8193-f68ada6a7364</t>
  </si>
  <si>
    <t>1071</t>
  </si>
  <si>
    <t>2025-12-17 11:35</t>
  </si>
  <si>
    <t>2025-12-17 11:26</t>
  </si>
  <si>
    <t>abc98d81-4273-47b0-93e2-dc8b203e9a9c</t>
  </si>
  <si>
    <t>1070</t>
  </si>
  <si>
    <t>hülya</t>
  </si>
  <si>
    <t>çevre</t>
  </si>
  <si>
    <t>2025-12-16 18:13</t>
  </si>
  <si>
    <t>2025-12-16 17:29</t>
  </si>
  <si>
    <t>hülya kılıç</t>
  </si>
  <si>
    <t>valide-i atik mh. çavuşdere cd. 132/A</t>
  </si>
  <si>
    <t xml:space="preserve"> alesta mantı dükkan</t>
  </si>
  <si>
    <t>alesta mantı ve ev yemekleri</t>
  </si>
  <si>
    <t>34674</t>
  </si>
  <si>
    <t>73951046656</t>
  </si>
  <si>
    <t>üsküdar vd</t>
  </si>
  <si>
    <t>59de498b-fc31-4b28-ad9f-1bb12536ce10</t>
  </si>
  <si>
    <t>1069</t>
  </si>
  <si>
    <t>Acar Hünkar</t>
  </si>
  <si>
    <t>Serin</t>
  </si>
  <si>
    <t>2025-12-16 12:25</t>
  </si>
  <si>
    <t>2025-12-08 13:50</t>
  </si>
  <si>
    <t>Gazi Mahallesi Akasya Sokak No:3</t>
  </si>
  <si>
    <t>Kırklareli</t>
  </si>
  <si>
    <t>39400</t>
  </si>
  <si>
    <t>Vize</t>
  </si>
  <si>
    <t>22145074500</t>
  </si>
  <si>
    <t>e47cb857-33e0-4228-ada8-29d445484203</t>
  </si>
  <si>
    <t>1068</t>
  </si>
  <si>
    <t>gökçe</t>
  </si>
  <si>
    <t>asena</t>
  </si>
  <si>
    <t>2025-12-16 08:21</t>
  </si>
  <si>
    <t>2025-12-16 06:34</t>
  </si>
  <si>
    <t>NUH NACİ ERDEM</t>
  </si>
  <si>
    <t xml:space="preserve">88 SOKAK NO 19 CELAL BEY APARTMANI DAİRE: 1 KAT: KOT -2 </t>
  </si>
  <si>
    <t>CELAL BEY</t>
  </si>
  <si>
    <t>12686588666</t>
  </si>
  <si>
    <t>a6292210-b70f-40fe-a08b-8cdc79a9e8ba</t>
  </si>
  <si>
    <t>1067</t>
  </si>
  <si>
    <t>alibey</t>
  </si>
  <si>
    <t>köse</t>
  </si>
  <si>
    <t>2025-12-16 01:48</t>
  </si>
  <si>
    <t>2025-12-15 08:58</t>
  </si>
  <si>
    <t>KÖŞKLÜ ÇEŞME MAH. YENİ BAĞDAT CAD. NO: 381 İÇ KAPI NO: B GEBZE/ KOCAELİ</t>
  </si>
  <si>
    <t>4</t>
  </si>
  <si>
    <t>Edanur köse</t>
  </si>
  <si>
    <t>Kocaeli</t>
  </si>
  <si>
    <t>41400</t>
  </si>
  <si>
    <t>Gebze</t>
  </si>
  <si>
    <t>05447924128</t>
  </si>
  <si>
    <t>16286502404</t>
  </si>
  <si>
    <t>İlyasbey Vd</t>
  </si>
  <si>
    <t>26848769718</t>
  </si>
  <si>
    <t>8f9ce034-a549-4370-b641-e7d2584b8cea</t>
  </si>
  <si>
    <t>1066</t>
  </si>
  <si>
    <t>Hepsi</t>
  </si>
  <si>
    <t>Meze</t>
  </si>
  <si>
    <t>2025-12-15 19:44</t>
  </si>
  <si>
    <t>2025-12-15 16:11</t>
  </si>
  <si>
    <t>HEPSİ MEZE  KÜÇÜKYALI</t>
  </si>
  <si>
    <t>Küçükyalı Merkez Mah, Naide Aslan Sk. No1/A, 34840 Maltepe/İstanbul</t>
  </si>
  <si>
    <t>KONAK HEPSİ MEZE KÜÇÜKYALI</t>
  </si>
  <si>
    <t>CORE METAL ÇELİK İNŞ. VE GIDA SAN. TİC. LTD. ŞTİ.</t>
  </si>
  <si>
    <t>34840</t>
  </si>
  <si>
    <t>Maltepe</t>
  </si>
  <si>
    <t>2120996096</t>
  </si>
  <si>
    <t>KARTAL</t>
  </si>
  <si>
    <t>42031503716</t>
  </si>
  <si>
    <t>1a54bbf1-9648-4d88-8d7b-f3c9da123343</t>
  </si>
  <si>
    <t>Marine Hamsi Sade 200 Gr.</t>
  </si>
  <si>
    <t>1.20.01.01.0200</t>
  </si>
  <si>
    <t>1065</t>
  </si>
  <si>
    <t>2025-12-15 11:15</t>
  </si>
  <si>
    <t>2025-12-15 11:08</t>
  </si>
  <si>
    <t>55427f0a-f180-4a81-a689-58e24a386811</t>
  </si>
  <si>
    <t>1064</t>
  </si>
  <si>
    <t>2025-12-14 17:32</t>
  </si>
  <si>
    <t>2025-12-14 17:30</t>
  </si>
  <si>
    <t>5bc8087a-c2e2-4a35-87a8-a6c5447d3bef</t>
  </si>
  <si>
    <t>1063</t>
  </si>
  <si>
    <t>AHMET MİRŞAN TETİK</t>
  </si>
  <si>
    <t>TETİK</t>
  </si>
  <si>
    <t>2025-12-12 16:32</t>
  </si>
  <si>
    <t>2025-12-12 16:26</t>
  </si>
  <si>
    <t>YAKA MAHALLESİ DÜNYA KAYISI TİCARET MERKEZİ E2 BLOK NO 7</t>
  </si>
  <si>
    <t>Malatya/ Yeşilyurt</t>
  </si>
  <si>
    <t>KAYISICENTER GIDA TAR.İTH.İHR.LTD.ŞTİ</t>
  </si>
  <si>
    <t>Malatya</t>
  </si>
  <si>
    <t>44380</t>
  </si>
  <si>
    <t>Yeşilyurt</t>
  </si>
  <si>
    <t>5380938284</t>
  </si>
  <si>
    <t xml:space="preserve">Beydağı </t>
  </si>
  <si>
    <t>cfce2a56-90d9-48b0-9a6f-c610402afb6e</t>
  </si>
  <si>
    <t>1062</t>
  </si>
  <si>
    <t>Ünal</t>
  </si>
  <si>
    <t>2025-12-11 18:23</t>
  </si>
  <si>
    <t>2025-11-20 17:53</t>
  </si>
  <si>
    <t>Hamsi Vide Donuk Dökme</t>
  </si>
  <si>
    <t>1.20.12.01.0001</t>
  </si>
  <si>
    <t>Mustafa  Ünal</t>
  </si>
  <si>
    <t xml:space="preserve">Yeni İstanbul çevre yolu caddesi Bosna Hersek Mahallesi </t>
  </si>
  <si>
    <t xml:space="preserve">Takkeli Balık </t>
  </si>
  <si>
    <t>Konya</t>
  </si>
  <si>
    <t>42060</t>
  </si>
  <si>
    <t>Selçuklu</t>
  </si>
  <si>
    <t>9100085617</t>
  </si>
  <si>
    <t xml:space="preserve">Mevlana </t>
  </si>
  <si>
    <t>11999669246</t>
  </si>
  <si>
    <t>b51f6222-e2d7-4603-8ed3-12faa7bd07f6</t>
  </si>
  <si>
    <t>1061</t>
  </si>
  <si>
    <t>2025-12-10 20:12</t>
  </si>
  <si>
    <t>2025-12-10 20:00</t>
  </si>
  <si>
    <t>3972b22a-3bfc-4ead-9661-8032340331f8</t>
  </si>
  <si>
    <t>1060</t>
  </si>
  <si>
    <t>2025-12-08 21:01</t>
  </si>
  <si>
    <t>2025-12-06 21:18</t>
  </si>
  <si>
    <t>Cumhuriyet bulvarı 117. sokak no 1 kat 2 daire 4 Osman kasap üstü</t>
  </si>
  <si>
    <t>319a1314-3238-4d9b-a98d-4338d727d7ed</t>
  </si>
  <si>
    <t>1059</t>
  </si>
  <si>
    <t>2025-12-08 12:26</t>
  </si>
  <si>
    <t>2025-12-08 12:04</t>
  </si>
  <si>
    <t>e8d285c2-52c0-4aa7-a132-a91d47bca41c</t>
  </si>
  <si>
    <t>1058</t>
  </si>
  <si>
    <t>Murat</t>
  </si>
  <si>
    <t>Altaş</t>
  </si>
  <si>
    <t>2025-12-08 00:03</t>
  </si>
  <si>
    <t>2025-12-07 23:14</t>
  </si>
  <si>
    <t xml:space="preserve">Abdurrahmangazi mah. Ebubekir cad. </t>
  </si>
  <si>
    <t>No:24/A</t>
  </si>
  <si>
    <t>Murat altaş</t>
  </si>
  <si>
    <t>34887</t>
  </si>
  <si>
    <t>Sancaktepe</t>
  </si>
  <si>
    <t>24470406018</t>
  </si>
  <si>
    <t xml:space="preserve">Sultanbeyli </t>
  </si>
  <si>
    <t>9d90a0e4-8251-42da-80db-19c3fa30d4bb</t>
  </si>
  <si>
    <t>Marine Pancar Salatası 200 Gr.</t>
  </si>
  <si>
    <t>1.20.01.14.0200</t>
  </si>
  <si>
    <t>1057</t>
  </si>
  <si>
    <t>Kübra</t>
  </si>
  <si>
    <t>Kahramanöz</t>
  </si>
  <si>
    <t>2025-12-06 00:56</t>
  </si>
  <si>
    <t>2025-12-06 00:32</t>
  </si>
  <si>
    <t>Kocahan işhanı misya meze ve mantı</t>
  </si>
  <si>
    <t>10330</t>
  </si>
  <si>
    <t>Sındırgı</t>
  </si>
  <si>
    <t>10606828854</t>
  </si>
  <si>
    <t>eb3eef69-84e7-46a6-b6fb-d985afc2223a</t>
  </si>
  <si>
    <t>1056</t>
  </si>
  <si>
    <t>Kocabiyikoglu</t>
  </si>
  <si>
    <t>2025-12-03 22:24</t>
  </si>
  <si>
    <t>2025-11-22 15:11</t>
  </si>
  <si>
    <t>Kumkoy Mah.Guzelgecit Şok.</t>
  </si>
  <si>
    <t>No 9/B</t>
  </si>
  <si>
    <t>50761048810</t>
  </si>
  <si>
    <t>88730562-62b8-49d9-af0b-a8971d0c3e6f</t>
  </si>
  <si>
    <t>1055</t>
  </si>
  <si>
    <t xml:space="preserve">Volkan </t>
  </si>
  <si>
    <t>Kaplan</t>
  </si>
  <si>
    <t>2025-12-02 23:30</t>
  </si>
  <si>
    <t>2025-11-25 22:55</t>
  </si>
  <si>
    <t>VOLKAN KAPLAN</t>
  </si>
  <si>
    <t>ŞEYHSİNAN MAH.KARAGÖZLER 1.SOK.NO:5/A</t>
  </si>
  <si>
    <t>59850</t>
  </si>
  <si>
    <t>Marmaraereğlisi</t>
  </si>
  <si>
    <t>54061569310</t>
  </si>
  <si>
    <t>86e6f694-1992-4dfe-85e4-b4de870ded0e</t>
  </si>
  <si>
    <t>1054</t>
  </si>
  <si>
    <t>2025-12-02 13:39</t>
  </si>
  <si>
    <t>2025-12-02 13:34</t>
  </si>
  <si>
    <t>b5f392e9-4fa5-4e9c-9be6-19773368c727</t>
  </si>
  <si>
    <t>1053</t>
  </si>
  <si>
    <t>Ahmet Atakan</t>
  </si>
  <si>
    <t>Doğan</t>
  </si>
  <si>
    <t>2025-12-02 12:27</t>
  </si>
  <si>
    <t>2025-11-08 13:39</t>
  </si>
  <si>
    <t>Hürriyet Mh. 500 Evler Cd. No:1/A</t>
  </si>
  <si>
    <t>Öztürk Peynircilik</t>
  </si>
  <si>
    <t>MEHMET ÖZTÜRK GIDA TEKS.SAN.VE TİC. A.Ş.</t>
  </si>
  <si>
    <t>Gaziosmanpaşa</t>
  </si>
  <si>
    <t>6140608167</t>
  </si>
  <si>
    <t>KÜÇÜKKÖY</t>
  </si>
  <si>
    <t>41782957328</t>
  </si>
  <si>
    <t>fe92ed9a-db64-4d69-bdf0-1a8776a92590</t>
  </si>
  <si>
    <t>1052</t>
  </si>
  <si>
    <t>2025-11-28 22:24</t>
  </si>
  <si>
    <t>2025-11-20 12:17</t>
  </si>
  <si>
    <t>3f050d7f-86d6-4679-ad8d-3ad94672125f</t>
  </si>
  <si>
    <t>1051</t>
  </si>
  <si>
    <t>Sadık</t>
  </si>
  <si>
    <t>2025-11-27 18:58</t>
  </si>
  <si>
    <t>2025-11-21 13:19</t>
  </si>
  <si>
    <t>Hacıfeyzullah mahallesi Mahmut esat 1.caddesi 21/19 L</t>
  </si>
  <si>
    <t>Liman Restaurant 21/19 L</t>
  </si>
  <si>
    <t>09400</t>
  </si>
  <si>
    <t>Kuşadası</t>
  </si>
  <si>
    <t>30133096588</t>
  </si>
  <si>
    <t>83579eeb-0a80-41d6-8851-68ca1b82b787</t>
  </si>
  <si>
    <t>1050</t>
  </si>
  <si>
    <t>ERSOY</t>
  </si>
  <si>
    <t>ÇANAKKALE</t>
  </si>
  <si>
    <t>2025-11-27 10:21</t>
  </si>
  <si>
    <t>2025-11-13 10:29</t>
  </si>
  <si>
    <t>FAHRETTİN ERSOY</t>
  </si>
  <si>
    <t>KARACAÖREN MEVKİİ ÇANAKKALE ORGANİZE SANAYİ BÖLGESİ 1.CAD.NO:12</t>
  </si>
  <si>
    <t>ERSOY GIDA</t>
  </si>
  <si>
    <t>ERSOY GIDA PAZ.TAR.HAY.İNŞ.NAK SAN VE TİC.LTD.ŞTİ</t>
  </si>
  <si>
    <t>3700041424</t>
  </si>
  <si>
    <t>28936387118</t>
  </si>
  <si>
    <t>3fdad045-52a6-4969-88cb-80fe9b9f8cd1</t>
  </si>
  <si>
    <t>1049</t>
  </si>
  <si>
    <t>DUMER</t>
  </si>
  <si>
    <t>RESTORAN</t>
  </si>
  <si>
    <t>2025-11-26 13:56</t>
  </si>
  <si>
    <t>2025-11-26 13:34</t>
  </si>
  <si>
    <t>çıtlakkale mah 117 nolu sokak no:18/104</t>
  </si>
  <si>
    <t>KAT:1</t>
  </si>
  <si>
    <t>DUMER RESTORAN OTOMOTİV</t>
  </si>
  <si>
    <t>Giresun</t>
  </si>
  <si>
    <t>28100</t>
  </si>
  <si>
    <t>3141391893</t>
  </si>
  <si>
    <t>GİRESUN</t>
  </si>
  <si>
    <t>41950251692</t>
  </si>
  <si>
    <t>a5b4aeb7-375d-41bc-a7a0-6ba08b7ffd83</t>
  </si>
  <si>
    <t>1048</t>
  </si>
  <si>
    <t>2025-11-26 12:26</t>
  </si>
  <si>
    <t>2025-11-26 12:16</t>
  </si>
  <si>
    <t xml:space="preserve">Ayfer  Hüdaverdi </t>
  </si>
  <si>
    <t>Bayraklı balık pisiricisi</t>
  </si>
  <si>
    <t>35550</t>
  </si>
  <si>
    <t>4640112318</t>
  </si>
  <si>
    <t>İzmir Karşıyaka</t>
  </si>
  <si>
    <t>fec5e408-f88c-4f5e-90d7-60e281d7fae3</t>
  </si>
  <si>
    <t>1047</t>
  </si>
  <si>
    <t>Demirel</t>
  </si>
  <si>
    <t>2025-11-25 22:34</t>
  </si>
  <si>
    <t>2025-11-24 14:49</t>
  </si>
  <si>
    <t>Kavak mahallesi çalkan caddesi no 22 iscehisar afyon</t>
  </si>
  <si>
    <t>No 22</t>
  </si>
  <si>
    <t>Afyonkarahisar</t>
  </si>
  <si>
    <t>03750</t>
  </si>
  <si>
    <t>İscehisar</t>
  </si>
  <si>
    <t>12163490758</t>
  </si>
  <si>
    <t>cf4ac71a-9520-4033-8b89-ca93ecc74ecf</t>
  </si>
  <si>
    <t>1046</t>
  </si>
  <si>
    <t>2025-11-25 19:02</t>
  </si>
  <si>
    <t>2025-11-25 18:52</t>
  </si>
  <si>
    <t>30bcd055-8585-4321-a032-1062f481270c</t>
  </si>
  <si>
    <t>1045</t>
  </si>
  <si>
    <t>2025-11-25 14:04</t>
  </si>
  <si>
    <t>2025-11-25 13:33</t>
  </si>
  <si>
    <t>2259ab13-1a8e-4820-aaaf-cc00e457d14b</t>
  </si>
  <si>
    <t>1044</t>
  </si>
  <si>
    <t>Muharrem</t>
  </si>
  <si>
    <t>Tımışkı</t>
  </si>
  <si>
    <t>2025-11-25 12:51</t>
  </si>
  <si>
    <t>2025-11-25 11:21</t>
  </si>
  <si>
    <t xml:space="preserve">Şehit cevdet koç cad. No 123 tepebaşı mah. </t>
  </si>
  <si>
    <t>Kapari meze balık</t>
  </si>
  <si>
    <t>9a77a9b9-b39b-470a-9a07-21bc92817286</t>
  </si>
  <si>
    <t>1043</t>
  </si>
  <si>
    <t>Burak</t>
  </si>
  <si>
    <t>Biçer</t>
  </si>
  <si>
    <t>2025-11-24 19:55</t>
  </si>
  <si>
    <t>2025-11-24 14:30</t>
  </si>
  <si>
    <t>Anıt mahallesi 0359 sokak no 35 tarsus/mersin</t>
  </si>
  <si>
    <t>Apartman ismi yok müstakil 2. Kat</t>
  </si>
  <si>
    <t>33430</t>
  </si>
  <si>
    <t>Tarsus</t>
  </si>
  <si>
    <t>14857348178</t>
  </si>
  <si>
    <t>b51f7057-0a5f-4c77-af2a-b1504f80d1d1</t>
  </si>
  <si>
    <t>1042</t>
  </si>
  <si>
    <t>2025-11-24 18:31</t>
  </si>
  <si>
    <t>2025-11-20 16:47</t>
  </si>
  <si>
    <t>18b90944-084a-431a-8db5-afcec6f20634</t>
  </si>
  <si>
    <t>1040</t>
  </si>
  <si>
    <t>MEHMET</t>
  </si>
  <si>
    <t>FİDAN</t>
  </si>
  <si>
    <t>2025-11-21 10:50</t>
  </si>
  <si>
    <t>2025-11-21 10:31</t>
  </si>
  <si>
    <t>ÜNİVERSİTE MAH. ERZURUM ŞEHİR HASTANESİ BEAH HİZMET BİNASI KAT.2</t>
  </si>
  <si>
    <t>Erzurum</t>
  </si>
  <si>
    <t>25100</t>
  </si>
  <si>
    <t>Yakutiye</t>
  </si>
  <si>
    <t>26362685334</t>
  </si>
  <si>
    <t>8427aeac-a6ac-4627-a40f-a05dd9c0f341</t>
  </si>
  <si>
    <t>1039</t>
  </si>
  <si>
    <t>Aytaç</t>
  </si>
  <si>
    <t>2025-11-21 09:58</t>
  </si>
  <si>
    <t>2025-11-21 09:47</t>
  </si>
  <si>
    <t xml:space="preserve">Demirciköy mah sarıçiçek yaylası cd no.9 </t>
  </si>
  <si>
    <t>Mako balık</t>
  </si>
  <si>
    <t>Dalia inşaat turizm madencilik san ve tic ltd şti</t>
  </si>
  <si>
    <t>2680426406</t>
  </si>
  <si>
    <t>31345861506</t>
  </si>
  <si>
    <t>c648685c-5879-413b-8872-951c46d41f50</t>
  </si>
  <si>
    <t>1038</t>
  </si>
  <si>
    <t>2025-11-19 21:44</t>
  </si>
  <si>
    <t>2025-11-19 21:28</t>
  </si>
  <si>
    <t>a00145ec-51ee-4a90-9715-ea105b58b5a5</t>
  </si>
  <si>
    <t>1037</t>
  </si>
  <si>
    <t>Şeker</t>
  </si>
  <si>
    <t>2025-11-18 13:21</t>
  </si>
  <si>
    <t>2025-11-18 13:07</t>
  </si>
  <si>
    <t>İstiklal mah bağlar cad no 30/2 serdivan SAKARYA</t>
  </si>
  <si>
    <t>54050</t>
  </si>
  <si>
    <t>Serdivan</t>
  </si>
  <si>
    <t>49126541608</t>
  </si>
  <si>
    <t>58ba3889-0fba-46b8-9de1-386808b7452d</t>
  </si>
  <si>
    <t>1036</t>
  </si>
  <si>
    <t>dilan</t>
  </si>
  <si>
    <t>alışkan</t>
  </si>
  <si>
    <t>2025-11-18 11:42</t>
  </si>
  <si>
    <t>2025-11-16 09:02</t>
  </si>
  <si>
    <t>3a0be59b-6ffc-4dee-aa62-71a3da84ee45</t>
  </si>
  <si>
    <t>1035</t>
  </si>
  <si>
    <t>ismail</t>
  </si>
  <si>
    <t>2025-11-16 15:03</t>
  </si>
  <si>
    <t>2025-11-16 14:58</t>
  </si>
  <si>
    <t>büyükkırım mh.istasyon cd.</t>
  </si>
  <si>
    <t>44</t>
  </si>
  <si>
    <t>05417931225</t>
  </si>
  <si>
    <t>cad1acc7-8eaa-43b6-81ff-39e3e12ab912</t>
  </si>
  <si>
    <t>1034</t>
  </si>
  <si>
    <t>2025-11-16 13:14</t>
  </si>
  <si>
    <t>2025-11-15 22:38</t>
  </si>
  <si>
    <t>b7d868e8-80c5-4f35-b570-5c1b9334cc64</t>
  </si>
  <si>
    <t>1033</t>
  </si>
  <si>
    <t>Koç</t>
  </si>
  <si>
    <t>2025-11-14 23:21</t>
  </si>
  <si>
    <t>2025-11-14 13:08</t>
  </si>
  <si>
    <t>Halıcıoğlu Mahallesi, Kalfayamağı Sokak, No:12, D:1</t>
  </si>
  <si>
    <t>No:12 , D:6</t>
  </si>
  <si>
    <t>44422918284</t>
  </si>
  <si>
    <t>519ed6ab-7896-4c56-b388-a07afb503358</t>
  </si>
  <si>
    <t>1032</t>
  </si>
  <si>
    <t>2025-11-14 17:21</t>
  </si>
  <si>
    <t>2025-11-14 17:01</t>
  </si>
  <si>
    <t>fa1a50be-c2a7-4792-9bfe-2651ab63a6f7</t>
  </si>
  <si>
    <t>1031</t>
  </si>
  <si>
    <t>2025-11-13 14:50</t>
  </si>
  <si>
    <t>2025-11-13 14:07</t>
  </si>
  <si>
    <t>7bac12db-e687-4dc3-83fd-ab5f901964b3</t>
  </si>
  <si>
    <t>1030</t>
  </si>
  <si>
    <t>Kemal</t>
  </si>
  <si>
    <t>Kaymak</t>
  </si>
  <si>
    <t>2025-11-10 06:46</t>
  </si>
  <si>
    <t>2025-10-31 22:32</t>
  </si>
  <si>
    <t>Güre Cumhuriyet Mahallesi</t>
  </si>
  <si>
    <t>12051. Sokak, No: 2/3D</t>
  </si>
  <si>
    <t>10390</t>
  </si>
  <si>
    <t>26447033098</t>
  </si>
  <si>
    <t>681568ad-0e5e-4a06-bbb1-d1011900dfa4</t>
  </si>
  <si>
    <t>1029</t>
  </si>
  <si>
    <t>2025-11-06 21:27</t>
  </si>
  <si>
    <t>2025-11-06 21:04</t>
  </si>
  <si>
    <t>fe01c07f-8a90-4e85-bbe3-8516a46860c2</t>
  </si>
  <si>
    <t>1028</t>
  </si>
  <si>
    <t>2025-11-06 12:19</t>
  </si>
  <si>
    <t>2025-11-06 11:51</t>
  </si>
  <si>
    <t>7ed954c0-099f-49c5-8385-42950fec7876</t>
  </si>
  <si>
    <t>1027</t>
  </si>
  <si>
    <t>Akdemir</t>
  </si>
  <si>
    <t>2025-11-06 09:39</t>
  </si>
  <si>
    <t>2025-11-03 15:57</t>
  </si>
  <si>
    <t>Ayvansaray mah mürselpaşa cad no.245</t>
  </si>
  <si>
    <t>Mustafa Sahil restaurant</t>
  </si>
  <si>
    <t>34087</t>
  </si>
  <si>
    <t>+905399659412</t>
  </si>
  <si>
    <t>33562866166</t>
  </si>
  <si>
    <t>dd373728-ddd9-4a1e-af38-0dc3c9246595</t>
  </si>
  <si>
    <t>1026</t>
  </si>
  <si>
    <t>Davut</t>
  </si>
  <si>
    <t>Batal</t>
  </si>
  <si>
    <t>2025-11-05 16:21</t>
  </si>
  <si>
    <t>2025-11-05 16:12</t>
  </si>
  <si>
    <t>Küçük çamlıca mah saadet sokak no 3 çamlıca köşk</t>
  </si>
  <si>
    <t>16298003852</t>
  </si>
  <si>
    <t>8af785cf-ae5c-4522-b372-e9cfa59942dd</t>
  </si>
  <si>
    <t>1025</t>
  </si>
  <si>
    <t>2025-11-05 13:16</t>
  </si>
  <si>
    <t>2025-11-05 12:47</t>
  </si>
  <si>
    <t>Büyükkum mahallesi Denizbüyükkum caddesi Ablok no 10/b</t>
  </si>
  <si>
    <t>Whiterose kafe kıtchen</t>
  </si>
  <si>
    <t>0241163537</t>
  </si>
  <si>
    <t xml:space="preserve">Demre vergi dairesi </t>
  </si>
  <si>
    <t>6d412978-47e6-4994-9ae6-876887956121</t>
  </si>
  <si>
    <t>1024</t>
  </si>
  <si>
    <t>Ulcay</t>
  </si>
  <si>
    <t>2025-11-04 18:48</t>
  </si>
  <si>
    <t>2025-11-01 13:58</t>
  </si>
  <si>
    <t>Selçuk bey mahallesi 683 sokak no:4/B</t>
  </si>
  <si>
    <t xml:space="preserve">Kat:0 </t>
  </si>
  <si>
    <t>Fatih usta balık restaurant</t>
  </si>
  <si>
    <t>Denizli</t>
  </si>
  <si>
    <t>20030</t>
  </si>
  <si>
    <t>Merkezefendi</t>
  </si>
  <si>
    <t>15637927538</t>
  </si>
  <si>
    <t>Gökpınar vergi dairesi</t>
  </si>
  <si>
    <t>d3c3bb04-5aa2-481b-aee7-c50fd61d7874</t>
  </si>
  <si>
    <t>1023</t>
  </si>
  <si>
    <t>2025-11-04 16:04</t>
  </si>
  <si>
    <t>2025-11-04 13:48</t>
  </si>
  <si>
    <t>Havale</t>
  </si>
  <si>
    <t>Havale / EFT</t>
  </si>
  <si>
    <t>9bac4fcf-622a-4067-bd3c-a7d6fd38da2d</t>
  </si>
  <si>
    <t>1022</t>
  </si>
  <si>
    <t>2025-11-04 14:15</t>
  </si>
  <si>
    <t>2025-11-04 13:59</t>
  </si>
  <si>
    <t>94e0cbd9-1fb5-44dd-8999-ec0de4819605</t>
  </si>
  <si>
    <t>1021</t>
  </si>
  <si>
    <t>YILMAZ BURAK</t>
  </si>
  <si>
    <t>ŞANLI</t>
  </si>
  <si>
    <t>2025-11-02 13:30</t>
  </si>
  <si>
    <t>2025-11-02 13:22</t>
  </si>
  <si>
    <t>KARAAĞAÇ MAHALLESİ SIRTKÖY BULVARI NO:33/195</t>
  </si>
  <si>
    <t>TOSKANA VADİSİ</t>
  </si>
  <si>
    <t>ŞANLIOGLU YAPI LTD ŞTİ</t>
  </si>
  <si>
    <t>34500</t>
  </si>
  <si>
    <t>Büyükçekmece</t>
  </si>
  <si>
    <t>7990400243</t>
  </si>
  <si>
    <t>esenyurt</t>
  </si>
  <si>
    <t>16570835522</t>
  </si>
  <si>
    <t>acef5ea9-e9df-4c69-abc7-86c57fe367b2</t>
  </si>
  <si>
    <t>1020</t>
  </si>
  <si>
    <t xml:space="preserve">Mümtaz </t>
  </si>
  <si>
    <t>Uysal</t>
  </si>
  <si>
    <t>2025-11-01 16:41</t>
  </si>
  <si>
    <t>2025-11-01 16:37</t>
  </si>
  <si>
    <t>Davultepe</t>
  </si>
  <si>
    <t>Sea side</t>
  </si>
  <si>
    <t>Han gurme gel ltd şti</t>
  </si>
  <si>
    <t>33290</t>
  </si>
  <si>
    <t>Mezitli</t>
  </si>
  <si>
    <t>4562264692</t>
  </si>
  <si>
    <t>İstiklal</t>
  </si>
  <si>
    <t>24916900988</t>
  </si>
  <si>
    <t>bbba1f9e-5874-4644-bb47-594bbab941ab</t>
  </si>
  <si>
    <t>1019</t>
  </si>
  <si>
    <t>Bekliyor</t>
  </si>
  <si>
    <t>2025-11-01 16:36</t>
  </si>
  <si>
    <t>2025-11-01 16:31</t>
  </si>
  <si>
    <t>86dfd808-2c92-42ee-9255-ef7c438ba6c9</t>
  </si>
  <si>
    <t>1018</t>
  </si>
  <si>
    <t>2025-11-01 16:28</t>
  </si>
  <si>
    <t>2025-11-01 16:23</t>
  </si>
  <si>
    <t xml:space="preserve">İstiklal </t>
  </si>
  <si>
    <t>2f4c5677-264d-46d5-b6d8-a3309dd63081</t>
  </si>
  <si>
    <t>1017</t>
  </si>
  <si>
    <t>Mümtaz</t>
  </si>
  <si>
    <t>2025-11-01 16:21</t>
  </si>
  <si>
    <t>2025-11-01 16:10</t>
  </si>
  <si>
    <t>İstiklal Mahalledi</t>
  </si>
  <si>
    <t>447f4793-dd0c-4527-a726-4e5759664598</t>
  </si>
  <si>
    <t>1016</t>
  </si>
  <si>
    <t>Necati</t>
  </si>
  <si>
    <t>Turşucu</t>
  </si>
  <si>
    <t>2025-10-31 21:45</t>
  </si>
  <si>
    <t>2025-10-31 21:26</t>
  </si>
  <si>
    <t>İspat cami mahallesi galeriçiler sitesi Acun otomotiv no:2 Edirne keşan</t>
  </si>
  <si>
    <t>Acun otomotiv</t>
  </si>
  <si>
    <t>Edirne</t>
  </si>
  <si>
    <t>22800</t>
  </si>
  <si>
    <t>Keşan</t>
  </si>
  <si>
    <t>23731702982</t>
  </si>
  <si>
    <t>549676bd-5f1c-4c5c-939e-521a51c002de</t>
  </si>
  <si>
    <t>1015</t>
  </si>
  <si>
    <t>2025-10-31 19:15</t>
  </si>
  <si>
    <t>2025-10-31 19:10</t>
  </si>
  <si>
    <t>Gelibolu sardalya</t>
  </si>
  <si>
    <t xml:space="preserve">Gelibolu </t>
  </si>
  <si>
    <t>f7dc491f-8959-4f74-bfee-7afa5fd6bcd9</t>
  </si>
  <si>
    <t>1014</t>
  </si>
  <si>
    <t>asd</t>
  </si>
  <si>
    <t>2025-10-31 14:45</t>
  </si>
  <si>
    <t>2025-10-31 14:37</t>
  </si>
  <si>
    <t>21321</t>
  </si>
  <si>
    <t>Ayaş</t>
  </si>
  <si>
    <t>+905555555555</t>
  </si>
  <si>
    <t>22222222222</t>
  </si>
  <si>
    <t>57f5fee2-2078-4128-8c64-923f350ff9a6</t>
  </si>
  <si>
    <t>test1</t>
  </si>
  <si>
    <t>1013</t>
  </si>
  <si>
    <t>hüseyin</t>
  </si>
  <si>
    <t>yücel</t>
  </si>
  <si>
    <t>2025-10-31 14:14</t>
  </si>
  <si>
    <t>hüseyin yüceş</t>
  </si>
  <si>
    <t>yavuzlar mah. 4175 sokak no:20</t>
  </si>
  <si>
    <t>test</t>
  </si>
  <si>
    <t>01120</t>
  </si>
  <si>
    <t>Yüreğir</t>
  </si>
  <si>
    <t>+905070999375</t>
  </si>
  <si>
    <t>12058290142</t>
  </si>
  <si>
    <t>be994360-828c-44eb-80b2-d411c3872e6a</t>
  </si>
  <si>
    <t>1012</t>
  </si>
  <si>
    <t>deneme</t>
  </si>
  <si>
    <t>2025-10-30 17:10</t>
  </si>
  <si>
    <t>2025-10-30 17:09</t>
  </si>
  <si>
    <t>Adalar</t>
  </si>
  <si>
    <t>53983182342</t>
  </si>
  <si>
    <t>61a83f2f-0e18-4ea9-93b6-ad4f8588027c</t>
  </si>
  <si>
    <t>1011</t>
  </si>
  <si>
    <t>2025-09-01 17:23</t>
  </si>
  <si>
    <t>Somon Burger</t>
  </si>
  <si>
    <t>707da277-b95b-4979-995d-6e09e46fedf0</t>
  </si>
  <si>
    <t>1010</t>
  </si>
  <si>
    <t>2025-09-01 17:09</t>
  </si>
  <si>
    <t>2025-09-01 17:06</t>
  </si>
  <si>
    <t>4668cc7c-9372-4d2c-a749-647b36a59a37</t>
  </si>
  <si>
    <t>1009</t>
  </si>
  <si>
    <t>2025-09-01 16:55</t>
  </si>
  <si>
    <t>yavuzlar mahallesi 4175 sokak no 20</t>
  </si>
  <si>
    <t>ADMIN</t>
  </si>
  <si>
    <t>30d827f8-0248-4963-bd7a-859433bd3ebb</t>
  </si>
  <si>
    <t>1008</t>
  </si>
  <si>
    <t>2025-09-01 16:28</t>
  </si>
  <si>
    <t>Karides Et Donuk 51/60</t>
  </si>
  <si>
    <t>1.20.08.01.0005</t>
  </si>
  <si>
    <t>Diğer</t>
  </si>
  <si>
    <t>GIFT_CARD</t>
  </si>
  <si>
    <t>d9e4d0c9-29eb-4c42-8617-bdd2f328f544</t>
  </si>
  <si>
    <t>Karides Et Donuk 100/200</t>
  </si>
  <si>
    <t>1.20.08.01.0001</t>
  </si>
  <si>
    <t>1007</t>
  </si>
  <si>
    <t>2025-08-29 13:54</t>
  </si>
  <si>
    <t>Karides Kabuklu Beyaz Donuk 21/30 1000 Gr.</t>
  </si>
  <si>
    <t>1.20.08.02.0006</t>
  </si>
  <si>
    <t>602f8ee0-33e4-4685-a741-d43c2261e806</t>
  </si>
  <si>
    <t>Karides Kabuklu Beyaz Donuk 4/6 1000 Gr.</t>
  </si>
  <si>
    <t>1.20.08.02.0001</t>
  </si>
  <si>
    <t>1006</t>
  </si>
  <si>
    <t>2025-08-29 13:49</t>
  </si>
  <si>
    <t>2025-08-29 13:43</t>
  </si>
  <si>
    <t>09e6fb4c-7f14-4b9e-b263-fcfd89ca3181</t>
  </si>
  <si>
    <t>1005</t>
  </si>
  <si>
    <t>2025-08-29 13:31</t>
  </si>
  <si>
    <t>2025-08-29 13:30</t>
  </si>
  <si>
    <t>dc0d99af-47b6-43c0-bc56-dc587b8ad773</t>
  </si>
  <si>
    <t>1004</t>
  </si>
  <si>
    <t>2025-08-29 13:29</t>
  </si>
  <si>
    <t>8e23d61e-1438-4eaa-8bbe-b425007b28f9</t>
  </si>
  <si>
    <t>1003</t>
  </si>
  <si>
    <t>2025-08-29 13:28</t>
  </si>
  <si>
    <t>8168a3b3-7630-4b64-b519-2284d4b33f66</t>
  </si>
  <si>
    <t>1002</t>
  </si>
  <si>
    <t>2025-08-29 13:23</t>
  </si>
  <si>
    <t>2025-08-29 13:22</t>
  </si>
  <si>
    <t>Pişmiş Somon 120 Gr. Sade</t>
  </si>
  <si>
    <t>1.20.07.04.0002</t>
  </si>
  <si>
    <t>Kargo Etiketi Yazdırıldı,Sipariş Aktarıldı</t>
  </si>
  <si>
    <t>6054a169-3f7f-41d4-bf1c-2920fe1bff69</t>
  </si>
  <si>
    <t>VIP</t>
  </si>
  <si>
    <t>Son 30 Günde Alışveriş Yapmamış</t>
  </si>
  <si>
    <t>Son 60 Günde Alışveriş Yapmamış</t>
  </si>
  <si>
    <t>1211</t>
  </si>
  <si>
    <t xml:space="preserve">Ayşe  Tarım </t>
  </si>
  <si>
    <t xml:space="preserve">Ayşe </t>
  </si>
  <si>
    <t xml:space="preserve">Tarım </t>
  </si>
  <si>
    <t>aysetarim2008@gmail.com</t>
  </si>
  <si>
    <t>2026-05-15 22:21</t>
  </si>
  <si>
    <t>2026-04-30 18:33</t>
  </si>
  <si>
    <t>Hisarönü mah. Kiseburnu mev. Küme evleri. Bizimgız meze( tarım pide yanı)</t>
  </si>
  <si>
    <t>Bizimgızmeze</t>
  </si>
  <si>
    <t>48700</t>
  </si>
  <si>
    <t>Marmaris</t>
  </si>
  <si>
    <t>+905376565355</t>
  </si>
  <si>
    <t>8240260926</t>
  </si>
  <si>
    <t xml:space="preserve">Marmaris </t>
  </si>
  <si>
    <t>17498649772</t>
  </si>
  <si>
    <t>9bd45498-76cb-431b-8bab-3ace21450fb6</t>
  </si>
  <si>
    <t>1210</t>
  </si>
  <si>
    <t>Merve Kayıkcı</t>
  </si>
  <si>
    <t>Merve</t>
  </si>
  <si>
    <t>Kayıkcı</t>
  </si>
  <si>
    <t>mrvkayikci03@gmail.com</t>
  </si>
  <si>
    <t>2026-05-15 14:26</t>
  </si>
  <si>
    <t>2026-05-12 13:08</t>
  </si>
  <si>
    <t>Konak mahallesi 871 son no.10 Kalimera meyhane</t>
  </si>
  <si>
    <t>Kalimera meyhane 1</t>
  </si>
  <si>
    <t>Fys turizm</t>
  </si>
  <si>
    <t>+905380377903</t>
  </si>
  <si>
    <t>3881712586</t>
  </si>
  <si>
    <t>Kemeralti vergi dairesi</t>
  </si>
  <si>
    <t>13082324834</t>
  </si>
  <si>
    <t>c738bb3c-b9bf-477f-8adb-a9bc1a01a43e</t>
  </si>
  <si>
    <t>1209</t>
  </si>
  <si>
    <t>2026-05-13 15:08</t>
  </si>
  <si>
    <t>2026-05-13 14:15</t>
  </si>
  <si>
    <t>1b4791ed-780f-4732-9201-f3b9fcd3aa15</t>
  </si>
  <si>
    <t>1208</t>
  </si>
  <si>
    <t>berrin gündoğdu</t>
  </si>
  <si>
    <t>berrin</t>
  </si>
  <si>
    <t>gündoğdu</t>
  </si>
  <si>
    <t>cmfashion34@gmail.com</t>
  </si>
  <si>
    <t>2026-05-13 00:28</t>
  </si>
  <si>
    <t>2026-05-13 00:24</t>
  </si>
  <si>
    <t>kanarya mah tavuskusu cad no 21/A</t>
  </si>
  <si>
    <t>sevdem tekstil</t>
  </si>
  <si>
    <t>34290</t>
  </si>
  <si>
    <t>Küçükçekmece</t>
  </si>
  <si>
    <t>+905526369689</t>
  </si>
  <si>
    <t>7640661180</t>
  </si>
  <si>
    <t>halkalı</t>
  </si>
  <si>
    <t>41972111714</t>
  </si>
  <si>
    <t>9a3de2d0-c832-42ab-bf65-3d19c4526d59</t>
  </si>
  <si>
    <t>1207</t>
  </si>
  <si>
    <t>CANAN ÇINAR</t>
  </si>
  <si>
    <t>CANAN</t>
  </si>
  <si>
    <t>ÇINAR</t>
  </si>
  <si>
    <t>info@teraziturizm.com</t>
  </si>
  <si>
    <t>2026-05-11 14:42</t>
  </si>
  <si>
    <t>2026-05-05 17:34</t>
  </si>
  <si>
    <t>Canan  Çınar Bozacı</t>
  </si>
  <si>
    <t>Kemankeş Karamustafapaşa Mah. Gümrük Sok. No:4 Karaköy -Beyoğlu</t>
  </si>
  <si>
    <t>no:4</t>
  </si>
  <si>
    <t>TERAZİ TURİZM REK.PROD.FOT.BAS.HİZ.DIŞ.TİC.LTD.ŞTİ.</t>
  </si>
  <si>
    <t>+902122442252</t>
  </si>
  <si>
    <t>16709740970</t>
  </si>
  <si>
    <t>88699920-0e92-4a54-8bd4-e0a44d79a32e</t>
  </si>
  <si>
    <t>1206</t>
  </si>
  <si>
    <t>2026-05-11 13:54</t>
  </si>
  <si>
    <t>2026-05-07 21:50</t>
  </si>
  <si>
    <t>52e00c12-bbf9-4362-ad5e-7edc5cfc63f0</t>
  </si>
  <si>
    <t>1205</t>
  </si>
  <si>
    <t>Akif Karakuş</t>
  </si>
  <si>
    <t>Akif</t>
  </si>
  <si>
    <t>Karakuş</t>
  </si>
  <si>
    <t>akifkarakus0084@gmail.com</t>
  </si>
  <si>
    <t>2026-05-11 11:49</t>
  </si>
  <si>
    <t>2026-05-11 11:19</t>
  </si>
  <si>
    <t>Seyfettin ince cadde 55/B</t>
  </si>
  <si>
    <t>48770</t>
  </si>
  <si>
    <t>Fethiye</t>
  </si>
  <si>
    <t>+905557287445</t>
  </si>
  <si>
    <t>47506654580</t>
  </si>
  <si>
    <t>Göcek mahallesi no:5</t>
  </si>
  <si>
    <t>Süleymanağa caddesi</t>
  </si>
  <si>
    <t>48300</t>
  </si>
  <si>
    <t>cd610368-364a-463c-8cb8-30caee8e226a</t>
  </si>
  <si>
    <t>Marine İsli Midye 200 Gr.</t>
  </si>
  <si>
    <t>1204</t>
  </si>
  <si>
    <t>2026-05-09 20:33</t>
  </si>
  <si>
    <t>2026-05-09 20:11</t>
  </si>
  <si>
    <t>4f54f938-15d0-4103-9c53-046528748f13</t>
  </si>
  <si>
    <t>1203</t>
  </si>
  <si>
    <t>2026-05-08 19:26</t>
  </si>
  <si>
    <t>2026-05-08 19:23</t>
  </si>
  <si>
    <t>b5bee3a2-ee24-4237-b554-ebe5562da2a2</t>
  </si>
  <si>
    <t>OCAKTAN İTİBAREN — Sadakat kuponu kullanılmadı, 02.05'te bitti</t>
  </si>
  <si>
    <t>18.05.2026</t>
  </si>
  <si>
    <t>0. alışveriş (sipariş iptal)</t>
  </si>
  <si>
    <t>0. alışveriş (3 sipariş iptal)</t>
  </si>
  <si>
    <t>Hayır</t>
  </si>
  <si>
    <t>Ayşe Tarım</t>
  </si>
  <si>
    <t>1220</t>
  </si>
  <si>
    <t>Mustafa Demirok</t>
  </si>
  <si>
    <t>Demirok</t>
  </si>
  <si>
    <t>demirok07@gmail.com</t>
  </si>
  <si>
    <t>2026-05-31 20:21</t>
  </si>
  <si>
    <t>2026-05-31 20:20</t>
  </si>
  <si>
    <t>Liman Mah.Liman 2 Cad.Setur Marina İçi Ship inn Marina Restaurant No:40/D</t>
  </si>
  <si>
    <t xml:space="preserve">Kiyomi Turizm Tarım San.Tic.İht.İhr.Ltd.Şti </t>
  </si>
  <si>
    <t>Konyaaltı</t>
  </si>
  <si>
    <t>+905327077433</t>
  </si>
  <si>
    <t>5640551030</t>
  </si>
  <si>
    <t>Antalya Kurumlar</t>
  </si>
  <si>
    <t>3165bde9-624a-4f17-8027-17122d1cd446</t>
  </si>
  <si>
    <t>1219</t>
  </si>
  <si>
    <t>2026-05-31 20:18</t>
  </si>
  <si>
    <t>2026-05-31 19:55</t>
  </si>
  <si>
    <t>1e966baa-76f5-4545-aa34-da2a03c7427c</t>
  </si>
  <si>
    <t>1218</t>
  </si>
  <si>
    <t>2026-05-31 18:31</t>
  </si>
  <si>
    <t>2026-05-31 18:07</t>
  </si>
  <si>
    <t>214d9bd7-3dc9-483f-9c59-6b6d6669918e</t>
  </si>
  <si>
    <t>1217</t>
  </si>
  <si>
    <t>2026-05-28 22:39</t>
  </si>
  <si>
    <t>2026-05-28 20:58</t>
  </si>
  <si>
    <t>Büyükkum Mah. Denizbüyükkum Cad. No:10B A Blok White Rose Kafe</t>
  </si>
  <si>
    <t>White Rose Kafe</t>
  </si>
  <si>
    <t>+905389701755</t>
  </si>
  <si>
    <t>4d4111a7-a179-4bf8-b930-684c36a304a9</t>
  </si>
  <si>
    <t>1216</t>
  </si>
  <si>
    <t>2026-05-28 21:22</t>
  </si>
  <si>
    <t>2026-05-28 21:20</t>
  </si>
  <si>
    <t>bfb3b53a-d673-496e-b6fa-662aa2f74d12</t>
  </si>
  <si>
    <t>1215</t>
  </si>
  <si>
    <t>Ufuk gönül</t>
  </si>
  <si>
    <t>Ufuk</t>
  </si>
  <si>
    <t>gönül</t>
  </si>
  <si>
    <t>adaufuk@hotmail.com</t>
  </si>
  <si>
    <t>2026-05-20 17:40</t>
  </si>
  <si>
    <t>2026-05-20 17:33</t>
  </si>
  <si>
    <t>Ufuk  gönül</t>
  </si>
  <si>
    <t>Ada kamp otel namık kemal mahallesi</t>
  </si>
  <si>
    <t>Alibey adası/Cunda.</t>
  </si>
  <si>
    <t>ada camp otel</t>
  </si>
  <si>
    <t>10405</t>
  </si>
  <si>
    <t>+905422907593</t>
  </si>
  <si>
    <t>4080080422</t>
  </si>
  <si>
    <t xml:space="preserve">Ayvalık </t>
  </si>
  <si>
    <t>28243344538</t>
  </si>
  <si>
    <t>9f9fa304-0e4f-4cec-a1f9-b3e7a93e1ca9</t>
  </si>
  <si>
    <t>1214</t>
  </si>
  <si>
    <t>AHMET ÇARK</t>
  </si>
  <si>
    <t>AHMET</t>
  </si>
  <si>
    <t>ÇARK</t>
  </si>
  <si>
    <t>ahmet_cark@hotmail.com</t>
  </si>
  <si>
    <t>2026-05-19 12:40</t>
  </si>
  <si>
    <t>2026-04-02 18:20</t>
  </si>
  <si>
    <t>Pişmiş Mezgit 120 Gr. Sade</t>
  </si>
  <si>
    <t>1.20.06.03.0002</t>
  </si>
  <si>
    <t>ÇARK BALIK ILICA MAHALLESİ 5065 SK.NO:25/C</t>
  </si>
  <si>
    <t>25/C</t>
  </si>
  <si>
    <t>35930</t>
  </si>
  <si>
    <t>Çeşme</t>
  </si>
  <si>
    <t>+905051063912</t>
  </si>
  <si>
    <t>19028472430</t>
  </si>
  <si>
    <t>22342335-7465-44bb-8e60-49659123cc28</t>
  </si>
  <si>
    <t>Pişmiş Uskumru 120 Gr. Sade</t>
  </si>
  <si>
    <t>1.20.05.04.0001</t>
  </si>
  <si>
    <t>Karides Et Yerli Kuyruklu 300 Gr.</t>
  </si>
  <si>
    <t>1.20.08.01.0006</t>
  </si>
  <si>
    <t>1213</t>
  </si>
  <si>
    <t>2026-05-19 00:36</t>
  </si>
  <si>
    <t>2026-05-19 00:20</t>
  </si>
  <si>
    <t>Alaaddin mah eski PTT CAD no 2 Gelibolu sardalya</t>
  </si>
  <si>
    <t>7d22d6cb-5ed3-4f38-a8fc-df57876cae14</t>
  </si>
  <si>
    <t>1212</t>
  </si>
  <si>
    <t>Çağrı Aydın</t>
  </si>
  <si>
    <t>libertarestoranlari@gmail.com</t>
  </si>
  <si>
    <t>2026-05-18 19:52</t>
  </si>
  <si>
    <t>2026-05-18 16:07</t>
  </si>
  <si>
    <t>5.LEVENT MAH. 15 TEMMUZ ŞEHİTLER CAD. A2 BLOK SİTESİ A2 BLOK NO: 10/1C EYÜPSULTAN / İSTANBULLiberta italiano - tabela ismi</t>
  </si>
  <si>
    <t>A2 blok 10/1C</t>
  </si>
  <si>
    <t>LİBERTA RESTORANLARI GIDA VE TURİZMCİLİK TİC. LTD. ŞTİ.</t>
  </si>
  <si>
    <t>34050</t>
  </si>
  <si>
    <t>Eyüpsultan</t>
  </si>
  <si>
    <t>+905305057077</t>
  </si>
  <si>
    <t>6081822232</t>
  </si>
  <si>
    <t xml:space="preserve">Gaziosmanpaşa </t>
  </si>
  <si>
    <t>48334692492</t>
  </si>
  <si>
    <t>d0a6014e-f3ae-4963-b173-f1ec2fa259f0</t>
  </si>
  <si>
    <t>can hoşgör (1218)</t>
  </si>
  <si>
    <t>Kampanya indirimi</t>
  </si>
  <si>
    <t>Suna Uğurlu (1213)</t>
  </si>
  <si>
    <t>uğur yıldız (1209)</t>
  </si>
  <si>
    <t>Ilker Karaalp (1203)</t>
  </si>
  <si>
    <t>can hoşgör (1201)</t>
  </si>
  <si>
    <t>Nihat Yurt (1200)</t>
  </si>
  <si>
    <t>can hoşgör (1194)</t>
  </si>
  <si>
    <t>Mayıs online ciro (iptal hariç):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</si>
</sst>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dd/mm/yyyy"/>
    <numFmt numFmtId="166" formatCode="\₺\ #,##0.00"/>
  </numFmts>
  <fonts count="2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charset val="16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8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5A44D5"/>
      <name val="Arial"/>
      <family val="2"/>
    </font>
    <font>
      <sz val="11"/>
      <color rgb="FF697586"/>
      <name val="İnherit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A44D5"/>
      <name val="Arial"/>
    </font>
    <font>
      <sz val="11"/>
      <color rgb="FF697586"/>
      <name val="Inherit"/>
    </font>
    <font>
      <b/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</font>
    <font>
      <sz val="12"/>
      <color rgb="FF000000"/>
      <name val="Calibri"/>
      <family val="2"/>
      <scheme val="minor"/>
    </font>
    <font>
      <sz val="11"/>
      <color rgb="FF008000"/>
      <name val="Aptos Narrow"/>
    </font>
    <font>
      <b/>
      <sz val="16"/>
      <color rgb="FF000000"/>
      <name val="Arial"/>
    </font>
    <font>
      <b/>
      <sz val="16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4F81BD"/>
        <bgColor indexed="64"/>
      </patternFill>
    </fill>
  </fills>
  <borders count="2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5" fillId="0" borderId="0"/>
  </cellStyleXfs>
  <cellXfs count="186">
    <xf numFmtId="0" fontId="0" fillId="0" borderId="0" xfId="0"/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2" fontId="0" fillId="6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2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7" borderId="0" xfId="0" applyFont="1" applyFill="1" applyAlignment="1">
      <alignment horizontal="center"/>
    </xf>
    <xf numFmtId="0" fontId="0" fillId="6" borderId="6" xfId="0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wrapText="1"/>
    </xf>
    <xf numFmtId="49" fontId="5" fillId="10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11" borderId="8" xfId="0" applyFill="1" applyBorder="1"/>
    <xf numFmtId="0" fontId="0" fillId="11" borderId="12" xfId="0" applyFill="1" applyBorder="1"/>
    <xf numFmtId="0" fontId="0" fillId="11" borderId="13" xfId="0" applyFill="1" applyBorder="1"/>
    <xf numFmtId="0" fontId="16" fillId="0" borderId="8" xfId="0" applyFont="1" applyBorder="1"/>
    <xf numFmtId="0" fontId="0" fillId="0" borderId="8" xfId="0" applyBorder="1"/>
    <xf numFmtId="0" fontId="16" fillId="0" borderId="0" xfId="0" applyFont="1"/>
    <xf numFmtId="0" fontId="16" fillId="0" borderId="12" xfId="0" applyFont="1" applyBorder="1"/>
    <xf numFmtId="0" fontId="16" fillId="0" borderId="14" xfId="0" applyFont="1" applyBorder="1"/>
    <xf numFmtId="0" fontId="0" fillId="0" borderId="13" xfId="0" applyBorder="1"/>
    <xf numFmtId="0" fontId="0" fillId="0" borderId="15" xfId="0" applyBorder="1"/>
    <xf numFmtId="0" fontId="18" fillId="0" borderId="0" xfId="0" applyFont="1"/>
    <xf numFmtId="0" fontId="18" fillId="0" borderId="8" xfId="0" applyFont="1" applyBorder="1"/>
    <xf numFmtId="0" fontId="0" fillId="11" borderId="6" xfId="0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65" fontId="19" fillId="14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0" fillId="0" borderId="21" xfId="0" applyBorder="1"/>
    <xf numFmtId="0" fontId="0" fillId="0" borderId="17" xfId="0" applyBorder="1"/>
    <xf numFmtId="0" fontId="23" fillId="0" borderId="21" xfId="0" applyFont="1" applyBorder="1" applyAlignment="1">
      <alignment horizontal="center" vertical="center"/>
    </xf>
    <xf numFmtId="0" fontId="0" fillId="11" borderId="21" xfId="0" applyFill="1" applyBorder="1" applyAlignment="1">
      <alignment horizontal="center"/>
    </xf>
    <xf numFmtId="0" fontId="18" fillId="11" borderId="21" xfId="0" applyFont="1" applyFill="1" applyBorder="1" applyAlignment="1">
      <alignment horizontal="center"/>
    </xf>
    <xf numFmtId="0" fontId="0" fillId="0" borderId="22" xfId="0" applyBorder="1"/>
    <xf numFmtId="0" fontId="0" fillId="0" borderId="21" xfId="0" applyBorder="1" applyAlignment="1">
      <alignment horizontal="center"/>
    </xf>
    <xf numFmtId="0" fontId="18" fillId="11" borderId="23" xfId="0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0" fillId="11" borderId="17" xfId="0" applyFill="1" applyBorder="1"/>
    <xf numFmtId="0" fontId="24" fillId="0" borderId="0" xfId="0" applyFont="1" applyAlignment="1">
      <alignment horizontal="center"/>
    </xf>
    <xf numFmtId="0" fontId="0" fillId="11" borderId="21" xfId="0" applyFill="1" applyBorder="1"/>
    <xf numFmtId="0" fontId="0" fillId="11" borderId="22" xfId="0" applyFill="1" applyBorder="1"/>
    <xf numFmtId="0" fontId="16" fillId="0" borderId="21" xfId="0" applyFont="1" applyBorder="1"/>
    <xf numFmtId="0" fontId="16" fillId="0" borderId="17" xfId="0" applyFont="1" applyBorder="1"/>
    <xf numFmtId="164" fontId="0" fillId="10" borderId="1" xfId="0" applyNumberForma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49" fontId="5" fillId="10" borderId="6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8" fillId="10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5" fontId="0" fillId="10" borderId="6" xfId="0" applyNumberForma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165" fontId="0" fillId="10" borderId="2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165" fontId="7" fillId="5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 wrapText="1"/>
    </xf>
    <xf numFmtId="165" fontId="7" fillId="10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22" fontId="0" fillId="6" borderId="7" xfId="0" applyNumberForma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/>
    </xf>
    <xf numFmtId="165" fontId="7" fillId="10" borderId="6" xfId="0" applyNumberFormat="1" applyFont="1" applyFill="1" applyBorder="1" applyAlignment="1">
      <alignment horizontal="center" vertical="center"/>
    </xf>
    <xf numFmtId="165" fontId="7" fillId="5" borderId="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2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7" xfId="0" applyFont="1" applyBorder="1"/>
    <xf numFmtId="0" fontId="0" fillId="0" borderId="27" xfId="0" applyBorder="1"/>
    <xf numFmtId="0" fontId="0" fillId="0" borderId="28" xfId="0" applyBorder="1"/>
    <xf numFmtId="0" fontId="16" fillId="0" borderId="20" xfId="0" applyFont="1" applyBorder="1"/>
    <xf numFmtId="14" fontId="0" fillId="10" borderId="1" xfId="0" applyNumberFormat="1" applyFill="1" applyBorder="1" applyAlignment="1">
      <alignment horizontal="center" vertical="center"/>
    </xf>
    <xf numFmtId="2" fontId="21" fillId="4" borderId="6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22" fontId="0" fillId="8" borderId="5" xfId="0" applyNumberForma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165" fontId="20" fillId="10" borderId="1" xfId="0" applyNumberFormat="1" applyFont="1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/>
    </xf>
    <xf numFmtId="165" fontId="0" fillId="8" borderId="5" xfId="0" applyNumberForma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/>
    <xf numFmtId="0" fontId="16" fillId="0" borderId="0" xfId="0" applyFont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0" borderId="17" xfId="0" applyNumberFormat="1" applyBorder="1"/>
    <xf numFmtId="166" fontId="0" fillId="0" borderId="22" xfId="0" applyNumberFormat="1" applyBorder="1"/>
    <xf numFmtId="0" fontId="16" fillId="0" borderId="6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166" fontId="0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6" fillId="0" borderId="19" xfId="0" applyFont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F4049C7-8FA7-4959-A85E-E16D9516A358}"/>
  </cellStyles>
  <dxfs count="56"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27" formatCode="d/mm/yyyy\ hh:mm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ill>
        <patternFill patternType="solid">
          <fgColor rgb="FFFFFFFF"/>
          <bgColor indexed="6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MTablo" displayName="CRMTablo" ref="A3:U222" headerRowDxfId="55" dataDxfId="54" totalsRowDxfId="53">
  <autoFilter ref="A3:U222" xr:uid="{00000000-0009-0000-0100-000001000000}"/>
  <sortState xmlns:xlrd2="http://schemas.microsoft.com/office/spreadsheetml/2017/richdata2" ref="A4:U105">
    <sortCondition ref="N3:N194"/>
  </sortState>
  <tableColumns count="21">
    <tableColumn id="1" xr3:uid="{00000000-0010-0000-0000-000001000000}" name="Ad Soyad" dataDxfId="52"/>
    <tableColumn id="2" xr3:uid="{00000000-0010-0000-0000-000002000000}" name="3" dataDxfId="51"/>
    <tableColumn id="3" xr3:uid="{00000000-0010-0000-0000-000003000000}" name="E-posta" dataDxfId="50"/>
    <tableColumn id="4" xr3:uid="{00000000-0010-0000-0000-000004000000}" name="Kaçıncı Alışverişi" dataDxfId="49"/>
    <tableColumn id="5" xr3:uid="{00000000-0010-0000-0000-000005000000}" name="Durum" dataDxfId="48"/>
    <tableColumn id="6" xr3:uid="{00000000-0010-0000-0000-000006000000}" name="Aranacak mı?" dataDxfId="47"/>
    <tableColumn id="7" xr3:uid="{00000000-0010-0000-0000-000007000000}" name="Arandı mı?" dataDxfId="46"/>
    <tableColumn id="8" xr3:uid="{00000000-0010-0000-0000-000008000000}" name="Son Arama Tarihi" dataDxfId="45"/>
    <tableColumn id="9" xr3:uid="{00000000-0010-0000-0000-000009000000}" name="Kupon Gönderildi mi?" dataDxfId="44"/>
    <tableColumn id="16" xr3:uid="{6572BB1D-7B9E-457C-B20A-6FBF8D4AAD54}" name="CRM Türü" dataDxfId="43"/>
    <tableColumn id="10" xr3:uid="{00000000-0010-0000-0000-00000A000000}" name="Kupon Kodu" dataDxfId="42"/>
    <tableColumn id="11" xr3:uid="{00000000-0010-0000-0000-00000B000000}" name="Kupon Gönderim Tarihi" dataDxfId="41"/>
    <tableColumn id="17" xr3:uid="{4E0136C8-782C-436F-AB5B-0BAA27C2C339}" name="Kupon Bitiş Tarihi" dataDxfId="40">
      <calculatedColumnFormula>IF(L4="","",EDATE(L4,1))</calculatedColumnFormula>
    </tableColumn>
    <tableColumn id="14" xr3:uid="{00000000-0010-0000-0000-00000E000000}" name="Son Sipariş Tarihi" dataDxfId="39"/>
    <tableColumn id="15" xr3:uid="{00000000-0010-0000-0000-00000F000000}" name="Not" dataDxfId="38"/>
    <tableColumn id="19" xr3:uid="{6EFEA2B2-C3E4-4AF8-9A4D-753CA8CACEFC}" name="CRM Güncellenme Tarihi" dataDxfId="37" totalsRowDxfId="36"/>
    <tableColumn id="12" xr3:uid="{E68825D4-46F6-40E7-A9E0-580F259F8A34}" name="Daha Önce Sipariş Var mı? (E/H)" dataDxfId="35" totalsRowDxfId="34"/>
    <tableColumn id="13" xr3:uid="{8E155F70-A6A0-4327-B853-B02473AF824B}" name="Nisan Siparişi Verdi mi? (E/H)" dataDxfId="33" totalsRowDxfId="32"/>
    <tableColumn id="18" xr3:uid="{C1D7D875-0ACF-4EEE-9E13-15F898C8B5B5}" name="Nisan Sipariş Tutarı (TL)" dataDxfId="31" totalsRowDxfId="30"/>
    <tableColumn id="20" xr3:uid="{7A697BBC-4FA4-4B4B-AEC5-99F3EFF5C0E6}" name="Mayıs Siparişi Verdi mi? (E/H)" dataDxfId="29" totalsRowDxfId="28"/>
    <tableColumn id="21" xr3:uid="{A3BE5209-CDCD-46F8-8FFB-05CEA27B0F40}" name="Mayıs Sipariş Tutarı (TL)" dataDxfId="27" totalsRowDxfId="2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61A937-1F4F-4918-B02F-1A3FDF8EAB7A}">
  <we:reference id="29673e3c-d826-4f00-92ee-162334a52b1a" version="1.0.0.8" store="EXCatalog" storeType="EXCatalog"/>
  <we:alternateReferences>
    <we:reference id="WA200009404" version="1.0.0.8" store="tr-TR" storeType="OMEX"/>
  </we:alternateReferences>
  <we:properties>
    <we:property name="claude.fileId" value="&quot;9132a683-d7ab-4db1-8bbc-ed155f632c5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U226"/>
  <sheetViews>
    <sheetView tabSelected="1" zoomScale="82" workbookViewId="0">
      <pane ySplit="3" topLeftCell="A4" activePane="bottomLeft" state="frozen"/>
      <selection pane="bottomLeft" activeCell="L38" sqref="L38"/>
    </sheetView>
  </sheetViews>
  <sheetFormatPr defaultRowHeight="15"/>
  <cols>
    <col min="1" max="1" width="24" style="1" customWidth="1"/>
    <col min="2" max="2" width="20.28515625" style="1" customWidth="1"/>
    <col min="3" max="3" width="28" style="1" customWidth="1"/>
    <col min="4" max="4" width="16" style="1" customWidth="1"/>
    <col min="5" max="5" width="30" style="1" customWidth="1"/>
    <col min="6" max="6" width="14" style="1" customWidth="1"/>
    <col min="7" max="7" width="12" style="1" customWidth="1"/>
    <col min="8" max="8" width="16" style="1" customWidth="1"/>
    <col min="9" max="9" width="18" style="1" customWidth="1"/>
    <col min="10" max="10" width="22.28515625" style="1" customWidth="1"/>
    <col min="11" max="11" width="18" style="1" customWidth="1"/>
    <col min="12" max="12" width="17" style="1" customWidth="1"/>
    <col min="13" max="13" width="21.140625" style="1" bestFit="1" customWidth="1"/>
    <col min="14" max="14" width="28" style="1" customWidth="1"/>
    <col min="15" max="15" width="49" style="1" customWidth="1"/>
    <col min="16" max="16" width="23.7109375" style="1" customWidth="1"/>
    <col min="17" max="17" width="29.7109375" style="1" customWidth="1"/>
    <col min="18" max="18" width="37.28515625" style="1" customWidth="1"/>
    <col min="19" max="19" width="33.28515625" style="1" customWidth="1"/>
    <col min="20" max="16384" width="9.140625" style="1"/>
  </cols>
  <sheetData>
    <row r="1" spans="1:21" ht="18.7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Q1" s="44"/>
      <c r="R1" s="44"/>
      <c r="S1" s="44"/>
    </row>
    <row r="2" spans="1:21">
      <c r="Q2" s="43" t="s">
        <v>1</v>
      </c>
      <c r="R2" s="43" t="s">
        <v>2</v>
      </c>
      <c r="S2" s="43" t="s">
        <v>3</v>
      </c>
      <c r="T2" s="76" t="s">
        <v>4</v>
      </c>
      <c r="U2" s="76" t="s">
        <v>5</v>
      </c>
    </row>
    <row r="3" spans="1:21" ht="30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19" t="s">
        <v>17</v>
      </c>
      <c r="M3" s="148" t="s">
        <v>18</v>
      </c>
      <c r="N3" s="4" t="s">
        <v>19</v>
      </c>
      <c r="O3" s="19" t="s">
        <v>20</v>
      </c>
      <c r="P3" s="27" t="s">
        <v>21</v>
      </c>
      <c r="Q3" s="44" t="s">
        <v>1</v>
      </c>
      <c r="R3" s="44" t="s">
        <v>2</v>
      </c>
      <c r="S3" s="44" t="s">
        <v>3</v>
      </c>
      <c r="T3" s="77" t="s">
        <v>4</v>
      </c>
      <c r="U3" s="77" t="s">
        <v>5</v>
      </c>
    </row>
    <row r="4" spans="1:21" s="28" customFormat="1" ht="15.75">
      <c r="A4" s="121" t="s">
        <v>22</v>
      </c>
      <c r="B4" s="147">
        <v>905058100077</v>
      </c>
      <c r="C4" s="122" t="s">
        <v>23</v>
      </c>
      <c r="D4" s="106" t="s">
        <v>24</v>
      </c>
      <c r="E4" s="106" t="s">
        <v>25</v>
      </c>
      <c r="F4" s="106"/>
      <c r="G4" s="106"/>
      <c r="H4" s="123"/>
      <c r="I4" s="106" t="s">
        <v>26</v>
      </c>
      <c r="J4" s="106" t="s">
        <v>27</v>
      </c>
      <c r="K4" s="125" t="s">
        <v>28</v>
      </c>
      <c r="L4" s="126">
        <v>46144</v>
      </c>
      <c r="M4" s="126">
        <f>IF(L4="","",EDATE(L4,1))</f>
        <v>46175</v>
      </c>
      <c r="N4" s="128">
        <v>46145</v>
      </c>
      <c r="O4" s="106"/>
      <c r="P4" s="131" t="s">
        <v>29</v>
      </c>
      <c r="Q4" s="114" t="s">
        <v>30</v>
      </c>
      <c r="R4" s="114" t="s">
        <v>30</v>
      </c>
      <c r="S4" s="114"/>
      <c r="T4" s="25" t="s">
        <v>31</v>
      </c>
      <c r="U4" s="25">
        <v>20227.2</v>
      </c>
    </row>
    <row r="5" spans="1:21" s="28" customFormat="1" ht="15.75">
      <c r="A5" s="95" t="s">
        <v>32</v>
      </c>
      <c r="B5" s="98" t="s">
        <v>33</v>
      </c>
      <c r="C5" s="100" t="s">
        <v>34</v>
      </c>
      <c r="D5" s="101" t="s">
        <v>35</v>
      </c>
      <c r="E5" s="102" t="s">
        <v>25</v>
      </c>
      <c r="F5" s="102"/>
      <c r="G5" s="102" t="s">
        <v>26</v>
      </c>
      <c r="H5" s="104">
        <v>46084</v>
      </c>
      <c r="I5" s="102" t="s">
        <v>26</v>
      </c>
      <c r="J5" s="102" t="s">
        <v>36</v>
      </c>
      <c r="K5" s="107" t="s">
        <v>37</v>
      </c>
      <c r="L5" s="104">
        <v>46114</v>
      </c>
      <c r="M5" s="104"/>
      <c r="N5" s="129">
        <v>46149</v>
      </c>
      <c r="O5" s="102" t="s">
        <v>38</v>
      </c>
      <c r="P5" s="112" t="s">
        <v>29</v>
      </c>
      <c r="Q5" s="47" t="s">
        <v>31</v>
      </c>
      <c r="R5" s="47" t="s">
        <v>31</v>
      </c>
      <c r="S5" s="47">
        <v>124271.28</v>
      </c>
      <c r="T5" s="40" t="s">
        <v>31</v>
      </c>
      <c r="U5" s="40">
        <v>219330.68</v>
      </c>
    </row>
    <row r="6" spans="1:21" ht="15.75">
      <c r="A6" s="97" t="s">
        <v>39</v>
      </c>
      <c r="B6" s="99" t="s">
        <v>40</v>
      </c>
      <c r="C6" s="29" t="s">
        <v>41</v>
      </c>
      <c r="D6" s="30" t="s">
        <v>42</v>
      </c>
      <c r="E6" s="103" t="s">
        <v>25</v>
      </c>
      <c r="F6" s="103"/>
      <c r="G6" s="103"/>
      <c r="H6" s="124"/>
      <c r="I6" s="31"/>
      <c r="J6" s="31"/>
      <c r="K6" s="32"/>
      <c r="L6" s="127"/>
      <c r="M6" s="110" t="str">
        <f>IF(L6="","",EDATE(L6,1))</f>
        <v/>
      </c>
      <c r="N6" s="130">
        <v>46144</v>
      </c>
      <c r="O6" s="111"/>
      <c r="P6" s="25" t="s">
        <v>29</v>
      </c>
      <c r="Q6" s="46" t="s">
        <v>31</v>
      </c>
      <c r="R6" s="46" t="s">
        <v>30</v>
      </c>
      <c r="S6" s="46"/>
      <c r="T6" s="24" t="s">
        <v>31</v>
      </c>
      <c r="U6" s="24">
        <v>6848</v>
      </c>
    </row>
    <row r="7" spans="1:21" ht="15.75">
      <c r="A7" s="33" t="s">
        <v>43</v>
      </c>
      <c r="B7" s="34" t="s">
        <v>44</v>
      </c>
      <c r="C7" s="35" t="s">
        <v>45</v>
      </c>
      <c r="D7" s="36" t="s">
        <v>414</v>
      </c>
      <c r="E7" s="37" t="s">
        <v>25</v>
      </c>
      <c r="F7" s="37"/>
      <c r="G7" s="37"/>
      <c r="H7" s="93"/>
      <c r="I7" s="37" t="s">
        <v>26</v>
      </c>
      <c r="J7" s="37" t="s">
        <v>36</v>
      </c>
      <c r="K7" s="39" t="s">
        <v>37</v>
      </c>
      <c r="L7" s="146">
        <v>46146</v>
      </c>
      <c r="M7" s="109" t="s">
        <v>47</v>
      </c>
      <c r="N7" s="117">
        <v>46150</v>
      </c>
      <c r="O7" s="37"/>
      <c r="P7" s="40" t="s">
        <v>2524</v>
      </c>
      <c r="Q7" s="94" t="s">
        <v>31</v>
      </c>
      <c r="R7" s="94" t="s">
        <v>30</v>
      </c>
      <c r="S7" s="94"/>
      <c r="T7" s="40" t="s">
        <v>31</v>
      </c>
      <c r="U7" s="40">
        <v>16342.28</v>
      </c>
    </row>
    <row r="8" spans="1:21" ht="15.75">
      <c r="A8" s="2" t="s">
        <v>48</v>
      </c>
      <c r="B8" s="5" t="s">
        <v>49</v>
      </c>
      <c r="C8" s="6" t="s">
        <v>50</v>
      </c>
      <c r="D8" s="7" t="s">
        <v>24</v>
      </c>
      <c r="E8" s="8" t="s">
        <v>25</v>
      </c>
      <c r="F8" s="8"/>
      <c r="G8" s="8" t="s">
        <v>26</v>
      </c>
      <c r="H8" s="9">
        <v>46105</v>
      </c>
      <c r="I8" s="8" t="s">
        <v>26</v>
      </c>
      <c r="J8" s="8" t="s">
        <v>36</v>
      </c>
      <c r="K8" s="10" t="s">
        <v>28</v>
      </c>
      <c r="L8" s="16">
        <v>46104</v>
      </c>
      <c r="M8" s="68">
        <f t="shared" ref="M8:M13" si="0">IF(L8="","",EDATE(L8,1))</f>
        <v>46135</v>
      </c>
      <c r="N8" s="120">
        <v>46044</v>
      </c>
      <c r="O8" s="8"/>
      <c r="P8" s="24" t="s">
        <v>29</v>
      </c>
      <c r="Q8" s="46" t="s">
        <v>31</v>
      </c>
      <c r="R8" s="46" t="s">
        <v>30</v>
      </c>
      <c r="S8" s="46"/>
      <c r="T8" s="24" t="s">
        <v>30</v>
      </c>
      <c r="U8" s="24"/>
    </row>
    <row r="9" spans="1:21" ht="15.75">
      <c r="A9" s="3" t="s">
        <v>51</v>
      </c>
      <c r="B9" s="5" t="s">
        <v>52</v>
      </c>
      <c r="C9" s="6" t="s">
        <v>53</v>
      </c>
      <c r="D9" s="7" t="s">
        <v>24</v>
      </c>
      <c r="E9" s="12" t="s">
        <v>25</v>
      </c>
      <c r="F9" s="12"/>
      <c r="G9" s="12" t="s">
        <v>26</v>
      </c>
      <c r="H9" s="13">
        <v>46106</v>
      </c>
      <c r="I9" s="8" t="s">
        <v>26</v>
      </c>
      <c r="J9" s="8" t="s">
        <v>54</v>
      </c>
      <c r="K9" s="10" t="s">
        <v>55</v>
      </c>
      <c r="L9" s="16">
        <v>46105</v>
      </c>
      <c r="M9" s="68">
        <f t="shared" si="0"/>
        <v>46136</v>
      </c>
      <c r="N9" s="115">
        <v>45987</v>
      </c>
      <c r="O9" s="12"/>
      <c r="P9" s="24" t="s">
        <v>29</v>
      </c>
      <c r="Q9" s="46" t="s">
        <v>31</v>
      </c>
      <c r="R9" s="46" t="s">
        <v>30</v>
      </c>
      <c r="S9" s="46"/>
      <c r="T9" s="24" t="s">
        <v>30</v>
      </c>
      <c r="U9" s="24"/>
    </row>
    <row r="10" spans="1:21" ht="15.75">
      <c r="A10" s="3" t="s">
        <v>56</v>
      </c>
      <c r="B10" s="15" t="s">
        <v>57</v>
      </c>
      <c r="C10" s="6" t="s">
        <v>58</v>
      </c>
      <c r="D10" s="7" t="s">
        <v>63</v>
      </c>
      <c r="E10" s="12" t="s">
        <v>25</v>
      </c>
      <c r="F10" s="12"/>
      <c r="G10" s="12" t="s">
        <v>26</v>
      </c>
      <c r="H10" s="13">
        <v>46084</v>
      </c>
      <c r="I10" s="8" t="s">
        <v>26</v>
      </c>
      <c r="J10" s="8" t="s">
        <v>36</v>
      </c>
      <c r="K10" s="10"/>
      <c r="L10" s="16">
        <v>46114</v>
      </c>
      <c r="M10" s="16">
        <f t="shared" si="0"/>
        <v>46144</v>
      </c>
      <c r="N10" s="115">
        <v>46138</v>
      </c>
      <c r="O10" s="12" t="s">
        <v>2523</v>
      </c>
      <c r="P10" s="24" t="s">
        <v>2524</v>
      </c>
      <c r="Q10" s="46" t="s">
        <v>31</v>
      </c>
      <c r="R10" s="46" t="s">
        <v>31</v>
      </c>
      <c r="S10" s="46">
        <v>7747.2</v>
      </c>
      <c r="T10" s="24" t="s">
        <v>31</v>
      </c>
      <c r="U10" s="24">
        <v>12365.96</v>
      </c>
    </row>
    <row r="11" spans="1:21" ht="15.75">
      <c r="A11" s="3" t="s">
        <v>60</v>
      </c>
      <c r="B11" s="15" t="s">
        <v>61</v>
      </c>
      <c r="C11" s="6" t="s">
        <v>62</v>
      </c>
      <c r="D11" s="7" t="s">
        <v>63</v>
      </c>
      <c r="E11" s="12" t="s">
        <v>25</v>
      </c>
      <c r="F11" s="12"/>
      <c r="G11" s="12"/>
      <c r="H11" s="14"/>
      <c r="I11" s="8"/>
      <c r="J11" s="8"/>
      <c r="K11" s="10"/>
      <c r="L11" s="11"/>
      <c r="M11" s="16" t="str">
        <f t="shared" si="0"/>
        <v/>
      </c>
      <c r="N11" s="115">
        <v>46137</v>
      </c>
      <c r="O11" s="12"/>
      <c r="P11" s="24" t="s">
        <v>29</v>
      </c>
      <c r="Q11" s="46" t="s">
        <v>31</v>
      </c>
      <c r="R11" s="46" t="s">
        <v>31</v>
      </c>
      <c r="S11" s="46">
        <v>6204.4</v>
      </c>
      <c r="T11" s="24" t="s">
        <v>31</v>
      </c>
      <c r="U11" s="24">
        <v>12667.26</v>
      </c>
    </row>
    <row r="12" spans="1:21" ht="15.75">
      <c r="A12" s="3" t="s">
        <v>64</v>
      </c>
      <c r="B12" s="15" t="s">
        <v>65</v>
      </c>
      <c r="C12" s="6" t="s">
        <v>66</v>
      </c>
      <c r="D12" s="7" t="s">
        <v>24</v>
      </c>
      <c r="E12" s="12" t="s">
        <v>25</v>
      </c>
      <c r="F12" s="12"/>
      <c r="G12" s="12" t="s">
        <v>26</v>
      </c>
      <c r="H12" s="14"/>
      <c r="I12" s="8" t="s">
        <v>26</v>
      </c>
      <c r="J12" s="8" t="s">
        <v>27</v>
      </c>
      <c r="K12" s="10" t="s">
        <v>28</v>
      </c>
      <c r="L12" s="11"/>
      <c r="M12" s="16" t="str">
        <f t="shared" si="0"/>
        <v/>
      </c>
      <c r="N12" s="115">
        <v>46058</v>
      </c>
      <c r="O12" s="12" t="s">
        <v>67</v>
      </c>
      <c r="P12" s="24" t="s">
        <v>29</v>
      </c>
      <c r="Q12" s="46" t="s">
        <v>31</v>
      </c>
      <c r="R12" s="46" t="s">
        <v>30</v>
      </c>
      <c r="S12" s="46"/>
      <c r="T12" s="24" t="s">
        <v>30</v>
      </c>
      <c r="U12" s="24"/>
    </row>
    <row r="13" spans="1:21" ht="15.75">
      <c r="A13" s="3" t="s">
        <v>68</v>
      </c>
      <c r="B13" s="5" t="s">
        <v>69</v>
      </c>
      <c r="C13" s="6" t="s">
        <v>70</v>
      </c>
      <c r="D13" s="7" t="s">
        <v>24</v>
      </c>
      <c r="E13" s="12" t="s">
        <v>25</v>
      </c>
      <c r="F13" s="12"/>
      <c r="G13" s="12" t="s">
        <v>26</v>
      </c>
      <c r="H13" s="13">
        <v>46106</v>
      </c>
      <c r="I13" s="8" t="s">
        <v>26</v>
      </c>
      <c r="J13" s="8" t="s">
        <v>54</v>
      </c>
      <c r="K13" s="10" t="s">
        <v>71</v>
      </c>
      <c r="L13" s="16">
        <v>46105</v>
      </c>
      <c r="M13" s="68">
        <f t="shared" si="0"/>
        <v>46136</v>
      </c>
      <c r="N13" s="115">
        <v>45966</v>
      </c>
      <c r="O13" s="12"/>
      <c r="P13" s="24" t="s">
        <v>29</v>
      </c>
      <c r="Q13" s="46" t="s">
        <v>31</v>
      </c>
      <c r="R13" s="46" t="s">
        <v>30</v>
      </c>
      <c r="S13" s="46"/>
      <c r="T13" s="24" t="s">
        <v>30</v>
      </c>
      <c r="U13" s="24"/>
    </row>
    <row r="14" spans="1:21" ht="15.75">
      <c r="A14" s="3" t="s">
        <v>72</v>
      </c>
      <c r="B14" s="15" t="s">
        <v>73</v>
      </c>
      <c r="C14" s="6" t="s">
        <v>74</v>
      </c>
      <c r="D14" s="7" t="s">
        <v>63</v>
      </c>
      <c r="E14" s="12" t="s">
        <v>25</v>
      </c>
      <c r="F14" s="12"/>
      <c r="G14" s="12" t="s">
        <v>26</v>
      </c>
      <c r="H14" s="13">
        <v>46106</v>
      </c>
      <c r="I14" s="8" t="s">
        <v>26</v>
      </c>
      <c r="J14" s="8" t="s">
        <v>27</v>
      </c>
      <c r="K14" s="10" t="s">
        <v>28</v>
      </c>
      <c r="L14" s="16">
        <v>46106</v>
      </c>
      <c r="M14" s="16">
        <v>46136</v>
      </c>
      <c r="N14" s="115">
        <v>46153</v>
      </c>
      <c r="O14" s="12"/>
      <c r="P14" s="24" t="s">
        <v>2524</v>
      </c>
      <c r="Q14" s="46" t="s">
        <v>31</v>
      </c>
      <c r="R14" s="46" t="s">
        <v>31</v>
      </c>
      <c r="S14" s="46">
        <v>27933.5</v>
      </c>
      <c r="T14" s="24" t="s">
        <v>30</v>
      </c>
      <c r="U14" s="24"/>
    </row>
    <row r="15" spans="1:21" ht="15.75">
      <c r="A15" s="3" t="s">
        <v>75</v>
      </c>
      <c r="B15" s="15" t="s">
        <v>76</v>
      </c>
      <c r="C15" s="6" t="s">
        <v>77</v>
      </c>
      <c r="D15" s="7" t="s">
        <v>42</v>
      </c>
      <c r="E15" s="12" t="s">
        <v>25</v>
      </c>
      <c r="F15" s="12"/>
      <c r="G15" s="12"/>
      <c r="H15" s="14"/>
      <c r="I15" s="8"/>
      <c r="J15" s="8"/>
      <c r="K15" s="10"/>
      <c r="L15" s="11"/>
      <c r="M15" s="16" t="str">
        <f>IF(L15="","",EDATE(L15,1))</f>
        <v/>
      </c>
      <c r="N15" s="115">
        <v>46130</v>
      </c>
      <c r="O15" s="12">
        <v>2</v>
      </c>
      <c r="P15" s="24" t="s">
        <v>29</v>
      </c>
      <c r="Q15" s="46" t="s">
        <v>31</v>
      </c>
      <c r="R15" s="46" t="s">
        <v>31</v>
      </c>
      <c r="S15" s="46">
        <v>8800</v>
      </c>
      <c r="T15" s="24" t="s">
        <v>30</v>
      </c>
      <c r="U15" s="24"/>
    </row>
    <row r="16" spans="1:21" ht="15.75">
      <c r="A16" s="3" t="s">
        <v>78</v>
      </c>
      <c r="B16" s="15" t="s">
        <v>79</v>
      </c>
      <c r="C16" s="6" t="s">
        <v>80</v>
      </c>
      <c r="D16" s="7" t="s">
        <v>42</v>
      </c>
      <c r="E16" s="12" t="s">
        <v>25</v>
      </c>
      <c r="F16" s="12"/>
      <c r="G16" s="12" t="s">
        <v>26</v>
      </c>
      <c r="H16" s="13">
        <v>46087</v>
      </c>
      <c r="I16" s="8" t="s">
        <v>26</v>
      </c>
      <c r="J16" s="8" t="s">
        <v>27</v>
      </c>
      <c r="K16" s="10" t="s">
        <v>28</v>
      </c>
      <c r="L16" s="16">
        <v>46087</v>
      </c>
      <c r="M16" s="16">
        <v>46117</v>
      </c>
      <c r="N16" s="115">
        <v>46128</v>
      </c>
      <c r="O16" s="12"/>
      <c r="P16" s="24" t="s">
        <v>29</v>
      </c>
      <c r="Q16" s="46" t="s">
        <v>31</v>
      </c>
      <c r="R16" s="46" t="s">
        <v>31</v>
      </c>
      <c r="S16" s="46">
        <v>37884</v>
      </c>
      <c r="T16" s="24" t="s">
        <v>30</v>
      </c>
      <c r="U16" s="24"/>
    </row>
    <row r="17" spans="1:21">
      <c r="A17" s="96" t="s">
        <v>81</v>
      </c>
      <c r="B17" s="96">
        <v>905334304904</v>
      </c>
      <c r="C17" s="96" t="s">
        <v>82</v>
      </c>
      <c r="D17" s="96" t="s">
        <v>24</v>
      </c>
      <c r="E17" s="96" t="s">
        <v>25</v>
      </c>
      <c r="F17" s="96"/>
      <c r="G17" s="96"/>
      <c r="H17" s="96"/>
      <c r="I17" s="105" t="s">
        <v>26</v>
      </c>
      <c r="J17" s="96" t="s">
        <v>27</v>
      </c>
      <c r="K17" s="96" t="s">
        <v>28</v>
      </c>
      <c r="L17" s="108">
        <v>46126</v>
      </c>
      <c r="M17" s="108">
        <v>46156</v>
      </c>
      <c r="N17" s="116">
        <v>46126</v>
      </c>
      <c r="O17" s="96"/>
      <c r="P17" s="113" t="s">
        <v>29</v>
      </c>
      <c r="Q17" s="45" t="s">
        <v>30</v>
      </c>
      <c r="R17" s="45" t="s">
        <v>31</v>
      </c>
      <c r="S17" s="45">
        <v>22988</v>
      </c>
      <c r="T17" s="74" t="s">
        <v>30</v>
      </c>
      <c r="U17" s="74"/>
    </row>
    <row r="18" spans="1:21" ht="15.75">
      <c r="A18" s="33" t="s">
        <v>83</v>
      </c>
      <c r="B18" s="34" t="s">
        <v>84</v>
      </c>
      <c r="C18" s="35" t="s">
        <v>85</v>
      </c>
      <c r="D18" s="36" t="s">
        <v>46</v>
      </c>
      <c r="E18" s="37" t="s">
        <v>25</v>
      </c>
      <c r="F18" s="37" t="s">
        <v>87</v>
      </c>
      <c r="G18" s="37" t="s">
        <v>26</v>
      </c>
      <c r="H18" s="38">
        <v>46084</v>
      </c>
      <c r="I18" s="37" t="s">
        <v>26</v>
      </c>
      <c r="J18" s="37" t="s">
        <v>36</v>
      </c>
      <c r="K18" s="39" t="s">
        <v>37</v>
      </c>
      <c r="L18" s="38">
        <v>46114</v>
      </c>
      <c r="M18" s="38" t="s">
        <v>47</v>
      </c>
      <c r="N18" s="117">
        <v>46155</v>
      </c>
      <c r="O18" s="37" t="s">
        <v>38</v>
      </c>
      <c r="P18" s="40" t="s">
        <v>2524</v>
      </c>
      <c r="Q18" s="47" t="s">
        <v>31</v>
      </c>
      <c r="R18" s="47" t="s">
        <v>31</v>
      </c>
      <c r="S18" s="47">
        <v>7736</v>
      </c>
      <c r="T18" s="40" t="s">
        <v>31</v>
      </c>
      <c r="U18" s="40">
        <v>19190.009999999998</v>
      </c>
    </row>
    <row r="19" spans="1:21" s="41" customFormat="1" ht="15.75">
      <c r="A19" s="3" t="s">
        <v>88</v>
      </c>
      <c r="B19" s="15" t="s">
        <v>89</v>
      </c>
      <c r="C19" s="6" t="s">
        <v>90</v>
      </c>
      <c r="D19" s="7" t="s">
        <v>42</v>
      </c>
      <c r="E19" s="12" t="s">
        <v>25</v>
      </c>
      <c r="F19" s="12"/>
      <c r="G19" s="12" t="s">
        <v>26</v>
      </c>
      <c r="H19" s="13">
        <v>46103</v>
      </c>
      <c r="I19" s="8" t="s">
        <v>26</v>
      </c>
      <c r="J19" s="8" t="s">
        <v>27</v>
      </c>
      <c r="K19" s="10" t="s">
        <v>28</v>
      </c>
      <c r="L19" s="16">
        <v>46103</v>
      </c>
      <c r="M19" s="16">
        <v>46133</v>
      </c>
      <c r="N19" s="115">
        <v>46119</v>
      </c>
      <c r="O19" s="12"/>
      <c r="P19" s="24" t="s">
        <v>29</v>
      </c>
      <c r="Q19" s="46" t="s">
        <v>31</v>
      </c>
      <c r="R19" s="46" t="s">
        <v>31</v>
      </c>
      <c r="S19" s="46">
        <v>3071.2</v>
      </c>
      <c r="T19" s="24" t="s">
        <v>30</v>
      </c>
      <c r="U19" s="24"/>
    </row>
    <row r="20" spans="1:21" ht="15.75">
      <c r="A20" s="2" t="s">
        <v>91</v>
      </c>
      <c r="B20" s="69" t="s">
        <v>92</v>
      </c>
      <c r="C20" s="70" t="s">
        <v>93</v>
      </c>
      <c r="D20" s="71" t="s">
        <v>42</v>
      </c>
      <c r="E20" s="72" t="s">
        <v>25</v>
      </c>
      <c r="F20" s="72"/>
      <c r="G20" s="72" t="s">
        <v>26</v>
      </c>
      <c r="H20" s="16">
        <v>46113</v>
      </c>
      <c r="I20" s="72" t="s">
        <v>26</v>
      </c>
      <c r="J20" s="72" t="s">
        <v>27</v>
      </c>
      <c r="K20" s="73" t="s">
        <v>28</v>
      </c>
      <c r="L20" s="16">
        <v>46113</v>
      </c>
      <c r="M20" s="16">
        <v>46143</v>
      </c>
      <c r="N20" s="118">
        <v>46125</v>
      </c>
      <c r="O20" s="72" t="s">
        <v>94</v>
      </c>
      <c r="P20" s="74" t="s">
        <v>29</v>
      </c>
      <c r="Q20" s="75" t="s">
        <v>30</v>
      </c>
      <c r="R20" s="75" t="s">
        <v>31</v>
      </c>
      <c r="S20" s="75">
        <v>91866</v>
      </c>
      <c r="T20" s="24" t="s">
        <v>30</v>
      </c>
      <c r="U20" s="24"/>
    </row>
    <row r="21" spans="1:21" ht="15.75">
      <c r="A21" s="3" t="s">
        <v>95</v>
      </c>
      <c r="B21" s="15" t="s">
        <v>96</v>
      </c>
      <c r="C21" s="6" t="s">
        <v>97</v>
      </c>
      <c r="D21" s="7" t="s">
        <v>63</v>
      </c>
      <c r="E21" s="12" t="s">
        <v>25</v>
      </c>
      <c r="F21" s="12"/>
      <c r="G21" s="12"/>
      <c r="H21" s="14"/>
      <c r="I21" s="8"/>
      <c r="J21" s="8"/>
      <c r="K21" s="10"/>
      <c r="L21" s="11"/>
      <c r="M21" s="16" t="str">
        <f>IF(L21="","",EDATE(L21,1))</f>
        <v/>
      </c>
      <c r="N21" s="115">
        <v>46125</v>
      </c>
      <c r="O21" s="12"/>
      <c r="P21" s="24" t="s">
        <v>29</v>
      </c>
      <c r="Q21" s="46" t="s">
        <v>31</v>
      </c>
      <c r="R21" s="46" t="s">
        <v>31</v>
      </c>
      <c r="S21" s="46">
        <v>21946.400000000001</v>
      </c>
      <c r="T21" s="24" t="s">
        <v>30</v>
      </c>
      <c r="U21" s="24"/>
    </row>
    <row r="22" spans="1:21" s="41" customFormat="1" ht="15.75">
      <c r="A22" s="3" t="s">
        <v>98</v>
      </c>
      <c r="B22" s="15" t="s">
        <v>99</v>
      </c>
      <c r="C22" s="6" t="s">
        <v>100</v>
      </c>
      <c r="D22" s="7" t="s">
        <v>24</v>
      </c>
      <c r="E22" s="12" t="s">
        <v>25</v>
      </c>
      <c r="F22" s="12"/>
      <c r="G22" s="12" t="s">
        <v>26</v>
      </c>
      <c r="H22" s="13">
        <v>46107</v>
      </c>
      <c r="I22" s="8" t="s">
        <v>26</v>
      </c>
      <c r="J22" s="8" t="s">
        <v>27</v>
      </c>
      <c r="K22" s="10" t="s">
        <v>28</v>
      </c>
      <c r="L22" s="16">
        <v>46107</v>
      </c>
      <c r="M22" s="16">
        <v>46137</v>
      </c>
      <c r="N22" s="115">
        <v>46106</v>
      </c>
      <c r="O22" s="12" t="s">
        <v>101</v>
      </c>
      <c r="P22" s="24" t="s">
        <v>29</v>
      </c>
      <c r="Q22" s="46" t="s">
        <v>31</v>
      </c>
      <c r="R22" s="46" t="s">
        <v>30</v>
      </c>
      <c r="S22" s="46"/>
      <c r="T22" s="24" t="s">
        <v>30</v>
      </c>
      <c r="U22" s="24"/>
    </row>
    <row r="23" spans="1:21" s="41" customFormat="1" ht="15.75">
      <c r="A23" s="3" t="s">
        <v>102</v>
      </c>
      <c r="B23" s="15" t="s">
        <v>103</v>
      </c>
      <c r="C23" s="6" t="s">
        <v>104</v>
      </c>
      <c r="D23" s="7" t="s">
        <v>24</v>
      </c>
      <c r="E23" s="12" t="s">
        <v>25</v>
      </c>
      <c r="F23" s="12" t="s">
        <v>105</v>
      </c>
      <c r="G23" s="12" t="s">
        <v>26</v>
      </c>
      <c r="H23" s="13">
        <v>46091</v>
      </c>
      <c r="I23" s="8" t="s">
        <v>26</v>
      </c>
      <c r="J23" s="8" t="s">
        <v>27</v>
      </c>
      <c r="K23" s="10" t="s">
        <v>28</v>
      </c>
      <c r="L23" s="16">
        <v>46091</v>
      </c>
      <c r="M23" s="16">
        <v>46121</v>
      </c>
      <c r="N23" s="115">
        <v>46090</v>
      </c>
      <c r="O23" s="12"/>
      <c r="P23" s="24" t="s">
        <v>29</v>
      </c>
      <c r="Q23" s="46" t="s">
        <v>31</v>
      </c>
      <c r="R23" s="46" t="s">
        <v>30</v>
      </c>
      <c r="S23" s="46"/>
      <c r="T23" s="24" t="s">
        <v>30</v>
      </c>
      <c r="U23" s="24"/>
    </row>
    <row r="24" spans="1:21">
      <c r="A24" s="96" t="s">
        <v>106</v>
      </c>
      <c r="B24" s="96">
        <v>905322814488</v>
      </c>
      <c r="C24" s="96" t="s">
        <v>107</v>
      </c>
      <c r="D24" s="96" t="s">
        <v>42</v>
      </c>
      <c r="E24" s="96" t="s">
        <v>25</v>
      </c>
      <c r="F24" s="96"/>
      <c r="G24" s="96"/>
      <c r="H24" s="96"/>
      <c r="I24" s="96"/>
      <c r="J24" s="96"/>
      <c r="K24" s="96"/>
      <c r="L24" s="96"/>
      <c r="M24" s="96" t="str">
        <f>IF(L24="","",EDATE(L24,1))</f>
        <v/>
      </c>
      <c r="N24" s="116">
        <v>46118</v>
      </c>
      <c r="O24" s="96"/>
      <c r="P24" s="113" t="s">
        <v>29</v>
      </c>
      <c r="Q24" s="45" t="s">
        <v>30</v>
      </c>
      <c r="R24" s="45" t="s">
        <v>31</v>
      </c>
      <c r="S24" s="45">
        <v>11594</v>
      </c>
      <c r="T24" s="74" t="s">
        <v>30</v>
      </c>
      <c r="U24" s="74"/>
    </row>
    <row r="25" spans="1:21" ht="15.75">
      <c r="A25" s="33" t="s">
        <v>108</v>
      </c>
      <c r="B25" s="34" t="s">
        <v>109</v>
      </c>
      <c r="C25" s="35" t="s">
        <v>110</v>
      </c>
      <c r="D25" s="36" t="s">
        <v>46</v>
      </c>
      <c r="E25" s="37" t="s">
        <v>25</v>
      </c>
      <c r="F25" s="37" t="s">
        <v>87</v>
      </c>
      <c r="G25" s="37" t="s">
        <v>26</v>
      </c>
      <c r="H25" s="38">
        <v>46084</v>
      </c>
      <c r="I25" s="37" t="s">
        <v>26</v>
      </c>
      <c r="J25" s="37" t="s">
        <v>36</v>
      </c>
      <c r="K25" s="39" t="s">
        <v>37</v>
      </c>
      <c r="L25" s="38">
        <v>46114</v>
      </c>
      <c r="M25" s="38" t="s">
        <v>47</v>
      </c>
      <c r="N25" s="117">
        <v>46118</v>
      </c>
      <c r="O25" s="37" t="s">
        <v>38</v>
      </c>
      <c r="P25" s="40" t="s">
        <v>29</v>
      </c>
      <c r="Q25" s="47" t="s">
        <v>31</v>
      </c>
      <c r="R25" s="47" t="s">
        <v>31</v>
      </c>
      <c r="S25" s="47">
        <v>21285.599999999999</v>
      </c>
      <c r="T25" s="40" t="s">
        <v>30</v>
      </c>
      <c r="U25" s="40"/>
    </row>
    <row r="26" spans="1:21" ht="15.75">
      <c r="A26" s="3" t="s">
        <v>111</v>
      </c>
      <c r="B26" s="15" t="s">
        <v>112</v>
      </c>
      <c r="C26" s="6" t="s">
        <v>113</v>
      </c>
      <c r="D26" s="7" t="s">
        <v>24</v>
      </c>
      <c r="E26" s="12" t="s">
        <v>25</v>
      </c>
      <c r="F26" s="12" t="s">
        <v>87</v>
      </c>
      <c r="G26" s="12" t="s">
        <v>26</v>
      </c>
      <c r="H26" s="13">
        <v>46097</v>
      </c>
      <c r="I26" s="8" t="s">
        <v>26</v>
      </c>
      <c r="J26" s="8" t="s">
        <v>27</v>
      </c>
      <c r="K26" s="10" t="s">
        <v>28</v>
      </c>
      <c r="L26" s="16">
        <v>46097</v>
      </c>
      <c r="M26" s="16">
        <v>46127</v>
      </c>
      <c r="N26" s="115">
        <v>46096</v>
      </c>
      <c r="O26" s="12"/>
      <c r="P26" s="24" t="s">
        <v>29</v>
      </c>
      <c r="Q26" s="46" t="s">
        <v>31</v>
      </c>
      <c r="R26" s="46" t="s">
        <v>30</v>
      </c>
      <c r="S26" s="46"/>
      <c r="T26" s="24" t="s">
        <v>30</v>
      </c>
      <c r="U26" s="24"/>
    </row>
    <row r="27" spans="1:21" s="41" customFormat="1" ht="15.75">
      <c r="A27" s="33" t="s">
        <v>114</v>
      </c>
      <c r="B27" s="156" t="s">
        <v>115</v>
      </c>
      <c r="C27" s="35" t="s">
        <v>116</v>
      </c>
      <c r="D27" s="36" t="s">
        <v>86</v>
      </c>
      <c r="E27" s="37" t="s">
        <v>25</v>
      </c>
      <c r="F27" s="37"/>
      <c r="G27" s="37" t="s">
        <v>26</v>
      </c>
      <c r="H27" s="38">
        <v>46105</v>
      </c>
      <c r="I27" s="37" t="s">
        <v>26</v>
      </c>
      <c r="J27" s="37" t="s">
        <v>36</v>
      </c>
      <c r="K27" s="39" t="s">
        <v>37</v>
      </c>
      <c r="L27" s="38">
        <v>46104</v>
      </c>
      <c r="M27" s="157" t="s">
        <v>47</v>
      </c>
      <c r="N27" s="117">
        <v>46141</v>
      </c>
      <c r="O27" s="37"/>
      <c r="P27" s="40" t="s">
        <v>29</v>
      </c>
      <c r="Q27" s="94" t="s">
        <v>31</v>
      </c>
      <c r="R27" s="94" t="s">
        <v>31</v>
      </c>
      <c r="S27" s="94">
        <v>42659.75</v>
      </c>
      <c r="T27" s="40" t="s">
        <v>30</v>
      </c>
      <c r="U27" s="40"/>
    </row>
    <row r="28" spans="1:21" s="41" customFormat="1" ht="15.75">
      <c r="A28" s="3" t="s">
        <v>117</v>
      </c>
      <c r="B28" s="15" t="s">
        <v>118</v>
      </c>
      <c r="C28" s="6" t="s">
        <v>119</v>
      </c>
      <c r="D28" s="7" t="s">
        <v>24</v>
      </c>
      <c r="E28" s="12" t="s">
        <v>25</v>
      </c>
      <c r="F28" s="12"/>
      <c r="G28" s="12" t="s">
        <v>26</v>
      </c>
      <c r="H28" s="13">
        <v>46113</v>
      </c>
      <c r="I28" s="12" t="s">
        <v>26</v>
      </c>
      <c r="J28" s="8" t="s">
        <v>27</v>
      </c>
      <c r="K28" s="10" t="s">
        <v>28</v>
      </c>
      <c r="L28" s="16">
        <v>46113</v>
      </c>
      <c r="M28" s="16">
        <v>46143</v>
      </c>
      <c r="N28" s="115">
        <v>46113</v>
      </c>
      <c r="O28" s="12"/>
      <c r="P28" s="24" t="s">
        <v>29</v>
      </c>
      <c r="Q28" s="46" t="s">
        <v>30</v>
      </c>
      <c r="R28" s="46" t="s">
        <v>31</v>
      </c>
      <c r="S28" s="46">
        <v>3760</v>
      </c>
      <c r="T28" s="24" t="s">
        <v>30</v>
      </c>
      <c r="U28" s="24"/>
    </row>
    <row r="29" spans="1:21" ht="15.75">
      <c r="A29" s="3" t="s">
        <v>120</v>
      </c>
      <c r="B29" s="5" t="s">
        <v>121</v>
      </c>
      <c r="C29" s="6" t="s">
        <v>122</v>
      </c>
      <c r="D29" s="7" t="s">
        <v>63</v>
      </c>
      <c r="E29" s="8" t="s">
        <v>123</v>
      </c>
      <c r="F29" s="8"/>
      <c r="G29" s="8" t="s">
        <v>26</v>
      </c>
      <c r="H29" s="9">
        <v>46105</v>
      </c>
      <c r="I29" s="12" t="s">
        <v>26</v>
      </c>
      <c r="J29" s="8" t="s">
        <v>54</v>
      </c>
      <c r="K29" s="17" t="s">
        <v>124</v>
      </c>
      <c r="L29" s="16">
        <v>46104</v>
      </c>
      <c r="M29" s="68">
        <f t="shared" ref="M29:M42" si="1">IF(L29="","",EDATE(L29,1))</f>
        <v>46135</v>
      </c>
      <c r="N29" s="119">
        <v>46049</v>
      </c>
      <c r="O29" s="8"/>
      <c r="P29" s="24" t="s">
        <v>29</v>
      </c>
      <c r="Q29" s="46" t="s">
        <v>31</v>
      </c>
      <c r="R29" s="46" t="s">
        <v>30</v>
      </c>
      <c r="S29" s="46"/>
      <c r="T29" s="24" t="s">
        <v>30</v>
      </c>
      <c r="U29" s="24"/>
    </row>
    <row r="30" spans="1:21" ht="15.75">
      <c r="A30" s="3" t="s">
        <v>125</v>
      </c>
      <c r="B30" s="5" t="s">
        <v>126</v>
      </c>
      <c r="C30" s="6" t="s">
        <v>127</v>
      </c>
      <c r="D30" s="7" t="s">
        <v>24</v>
      </c>
      <c r="E30" s="12" t="s">
        <v>123</v>
      </c>
      <c r="F30" s="12"/>
      <c r="G30" s="12" t="s">
        <v>26</v>
      </c>
      <c r="H30" s="13">
        <v>46105</v>
      </c>
      <c r="I30" s="8" t="s">
        <v>26</v>
      </c>
      <c r="J30" s="8" t="s">
        <v>54</v>
      </c>
      <c r="K30" s="10" t="s">
        <v>128</v>
      </c>
      <c r="L30" s="16">
        <v>46104</v>
      </c>
      <c r="M30" s="68">
        <f t="shared" si="1"/>
        <v>46135</v>
      </c>
      <c r="N30" s="115">
        <v>46044</v>
      </c>
      <c r="O30" s="12"/>
      <c r="P30" s="24"/>
      <c r="Q30" s="46" t="s">
        <v>30</v>
      </c>
      <c r="R30" s="46" t="s">
        <v>30</v>
      </c>
      <c r="S30" s="46"/>
      <c r="T30" s="24"/>
      <c r="U30" s="24"/>
    </row>
    <row r="31" spans="1:21" ht="15.75">
      <c r="A31" s="3" t="s">
        <v>129</v>
      </c>
      <c r="B31" s="5" t="s">
        <v>130</v>
      </c>
      <c r="C31" s="6" t="s">
        <v>131</v>
      </c>
      <c r="D31" s="7" t="s">
        <v>24</v>
      </c>
      <c r="E31" s="8" t="s">
        <v>123</v>
      </c>
      <c r="F31" s="8"/>
      <c r="G31" s="8" t="s">
        <v>26</v>
      </c>
      <c r="H31" s="9">
        <v>46105</v>
      </c>
      <c r="I31" s="8" t="s">
        <v>26</v>
      </c>
      <c r="J31" s="8" t="s">
        <v>54</v>
      </c>
      <c r="K31" s="10" t="s">
        <v>132</v>
      </c>
      <c r="L31" s="16">
        <v>46104</v>
      </c>
      <c r="M31" s="68">
        <f t="shared" si="1"/>
        <v>46135</v>
      </c>
      <c r="N31" s="119">
        <v>46049</v>
      </c>
      <c r="O31" s="8"/>
      <c r="P31" s="24"/>
      <c r="Q31" s="46" t="s">
        <v>30</v>
      </c>
      <c r="R31" s="46" t="s">
        <v>30</v>
      </c>
      <c r="S31" s="46"/>
      <c r="T31" s="24"/>
      <c r="U31" s="24"/>
    </row>
    <row r="32" spans="1:21" ht="15.75">
      <c r="A32" s="3" t="s">
        <v>133</v>
      </c>
      <c r="B32" s="5" t="s">
        <v>134</v>
      </c>
      <c r="C32" s="6" t="s">
        <v>135</v>
      </c>
      <c r="D32" s="7" t="s">
        <v>59</v>
      </c>
      <c r="E32" s="12" t="s">
        <v>123</v>
      </c>
      <c r="F32" s="12"/>
      <c r="G32" s="12" t="s">
        <v>26</v>
      </c>
      <c r="H32" s="13">
        <v>46105</v>
      </c>
      <c r="I32" s="12" t="s">
        <v>26</v>
      </c>
      <c r="J32" s="8" t="s">
        <v>54</v>
      </c>
      <c r="K32" s="10" t="s">
        <v>136</v>
      </c>
      <c r="L32" s="16">
        <v>46104</v>
      </c>
      <c r="M32" s="68">
        <f t="shared" si="1"/>
        <v>46135</v>
      </c>
      <c r="N32" s="115">
        <v>46139</v>
      </c>
      <c r="O32" s="12" t="s">
        <v>137</v>
      </c>
      <c r="P32" s="24" t="s">
        <v>29</v>
      </c>
      <c r="Q32" s="46" t="s">
        <v>31</v>
      </c>
      <c r="R32" s="46" t="s">
        <v>31</v>
      </c>
      <c r="S32" s="46">
        <v>56817.599999999999</v>
      </c>
      <c r="T32" s="24" t="s">
        <v>30</v>
      </c>
      <c r="U32" s="24"/>
    </row>
    <row r="33" spans="1:21" ht="15.75">
      <c r="A33" s="3" t="s">
        <v>138</v>
      </c>
      <c r="B33" s="5" t="s">
        <v>139</v>
      </c>
      <c r="C33" s="6" t="s">
        <v>140</v>
      </c>
      <c r="D33" s="7" t="s">
        <v>24</v>
      </c>
      <c r="E33" s="8" t="s">
        <v>123</v>
      </c>
      <c r="F33" s="8"/>
      <c r="G33" s="8" t="s">
        <v>26</v>
      </c>
      <c r="H33" s="9">
        <v>46105</v>
      </c>
      <c r="I33" s="8" t="s">
        <v>26</v>
      </c>
      <c r="J33" s="8" t="s">
        <v>54</v>
      </c>
      <c r="K33" s="10" t="s">
        <v>141</v>
      </c>
      <c r="L33" s="16">
        <v>46104</v>
      </c>
      <c r="M33" s="68">
        <f t="shared" si="1"/>
        <v>46135</v>
      </c>
      <c r="N33" s="119">
        <v>46013</v>
      </c>
      <c r="O33" s="8"/>
      <c r="P33" s="24" t="s">
        <v>29</v>
      </c>
      <c r="Q33" s="46" t="s">
        <v>31</v>
      </c>
      <c r="R33" s="46" t="s">
        <v>30</v>
      </c>
      <c r="S33" s="46"/>
      <c r="T33" s="24" t="s">
        <v>30</v>
      </c>
      <c r="U33" s="24"/>
    </row>
    <row r="34" spans="1:21" ht="31.5">
      <c r="A34" s="3" t="s">
        <v>142</v>
      </c>
      <c r="B34" s="5" t="s">
        <v>143</v>
      </c>
      <c r="C34" s="6" t="s">
        <v>144</v>
      </c>
      <c r="D34" s="7" t="s">
        <v>24</v>
      </c>
      <c r="E34" s="12" t="s">
        <v>123</v>
      </c>
      <c r="F34" s="12"/>
      <c r="G34" s="12" t="s">
        <v>26</v>
      </c>
      <c r="H34" s="13">
        <v>46105</v>
      </c>
      <c r="I34" s="8" t="s">
        <v>26</v>
      </c>
      <c r="J34" s="8" t="s">
        <v>54</v>
      </c>
      <c r="K34" s="10" t="s">
        <v>145</v>
      </c>
      <c r="L34" s="16">
        <v>46104</v>
      </c>
      <c r="M34" s="68">
        <f t="shared" si="1"/>
        <v>46135</v>
      </c>
      <c r="N34" s="115">
        <v>46009</v>
      </c>
      <c r="O34" s="12"/>
      <c r="P34" s="24" t="s">
        <v>29</v>
      </c>
      <c r="Q34" s="46" t="s">
        <v>31</v>
      </c>
      <c r="R34" s="46" t="s">
        <v>30</v>
      </c>
      <c r="S34" s="46"/>
      <c r="T34" s="24" t="s">
        <v>30</v>
      </c>
      <c r="U34" s="24"/>
    </row>
    <row r="35" spans="1:21" ht="15.75">
      <c r="A35" s="3" t="s">
        <v>146</v>
      </c>
      <c r="B35" s="5" t="s">
        <v>147</v>
      </c>
      <c r="C35" s="6" t="s">
        <v>148</v>
      </c>
      <c r="D35" s="7" t="s">
        <v>24</v>
      </c>
      <c r="E35" s="8" t="s">
        <v>123</v>
      </c>
      <c r="F35" s="8"/>
      <c r="G35" s="8" t="s">
        <v>26</v>
      </c>
      <c r="H35" s="9">
        <v>46106</v>
      </c>
      <c r="I35" s="8" t="s">
        <v>26</v>
      </c>
      <c r="J35" s="8" t="s">
        <v>54</v>
      </c>
      <c r="K35" s="10" t="s">
        <v>149</v>
      </c>
      <c r="L35" s="16">
        <v>46105</v>
      </c>
      <c r="M35" s="68">
        <f t="shared" si="1"/>
        <v>46136</v>
      </c>
      <c r="N35" s="119">
        <v>46007</v>
      </c>
      <c r="O35" s="8"/>
      <c r="P35" s="24" t="s">
        <v>29</v>
      </c>
      <c r="Q35" s="46" t="s">
        <v>31</v>
      </c>
      <c r="R35" s="46" t="s">
        <v>30</v>
      </c>
      <c r="S35" s="46"/>
      <c r="T35" s="24" t="s">
        <v>30</v>
      </c>
      <c r="U35" s="24"/>
    </row>
    <row r="36" spans="1:21" ht="15.75">
      <c r="A36" s="3" t="s">
        <v>150</v>
      </c>
      <c r="B36" s="5" t="s">
        <v>151</v>
      </c>
      <c r="C36" s="6" t="s">
        <v>152</v>
      </c>
      <c r="D36" s="7" t="s">
        <v>24</v>
      </c>
      <c r="E36" s="12" t="s">
        <v>123</v>
      </c>
      <c r="F36" s="12"/>
      <c r="G36" s="12" t="s">
        <v>26</v>
      </c>
      <c r="H36" s="13">
        <v>46106</v>
      </c>
      <c r="I36" s="8" t="s">
        <v>26</v>
      </c>
      <c r="J36" s="8" t="s">
        <v>54</v>
      </c>
      <c r="K36" s="10" t="s">
        <v>153</v>
      </c>
      <c r="L36" s="16">
        <v>46105</v>
      </c>
      <c r="M36" s="68">
        <f t="shared" si="1"/>
        <v>46136</v>
      </c>
      <c r="N36" s="115">
        <v>46003</v>
      </c>
      <c r="O36" s="12"/>
      <c r="P36" s="24" t="s">
        <v>29</v>
      </c>
      <c r="Q36" s="46" t="s">
        <v>31</v>
      </c>
      <c r="R36" s="46" t="s">
        <v>30</v>
      </c>
      <c r="S36" s="46"/>
      <c r="T36" s="24" t="s">
        <v>30</v>
      </c>
      <c r="U36" s="24"/>
    </row>
    <row r="37" spans="1:21" ht="15.75">
      <c r="A37" s="3" t="s">
        <v>154</v>
      </c>
      <c r="B37" s="5" t="s">
        <v>155</v>
      </c>
      <c r="C37" s="6" t="s">
        <v>156</v>
      </c>
      <c r="D37" s="7" t="s">
        <v>24</v>
      </c>
      <c r="E37" s="8" t="s">
        <v>123</v>
      </c>
      <c r="F37" s="8"/>
      <c r="G37" s="8" t="s">
        <v>26</v>
      </c>
      <c r="H37" s="9">
        <v>46106</v>
      </c>
      <c r="I37" s="12" t="s">
        <v>26</v>
      </c>
      <c r="J37" s="8" t="s">
        <v>54</v>
      </c>
      <c r="K37" s="10" t="s">
        <v>157</v>
      </c>
      <c r="L37" s="16">
        <v>46105</v>
      </c>
      <c r="M37" s="68">
        <f t="shared" si="1"/>
        <v>46136</v>
      </c>
      <c r="N37" s="119">
        <v>45994</v>
      </c>
      <c r="O37" s="8"/>
      <c r="P37" s="24" t="s">
        <v>29</v>
      </c>
      <c r="Q37" s="46" t="s">
        <v>31</v>
      </c>
      <c r="R37" s="46" t="s">
        <v>30</v>
      </c>
      <c r="S37" s="46"/>
      <c r="T37" s="24" t="s">
        <v>30</v>
      </c>
      <c r="U37" s="24"/>
    </row>
    <row r="38" spans="1:21" ht="15.75">
      <c r="A38" s="3" t="s">
        <v>158</v>
      </c>
      <c r="B38" s="5" t="s">
        <v>159</v>
      </c>
      <c r="C38" s="6" t="s">
        <v>160</v>
      </c>
      <c r="D38" s="7" t="s">
        <v>24</v>
      </c>
      <c r="E38" s="12" t="s">
        <v>123</v>
      </c>
      <c r="F38" s="12"/>
      <c r="G38" s="12" t="s">
        <v>26</v>
      </c>
      <c r="H38" s="13">
        <v>46106</v>
      </c>
      <c r="I38" s="8" t="s">
        <v>26</v>
      </c>
      <c r="J38" s="8" t="s">
        <v>54</v>
      </c>
      <c r="K38" s="10" t="s">
        <v>161</v>
      </c>
      <c r="L38" s="16">
        <v>46105</v>
      </c>
      <c r="M38" s="68">
        <f t="shared" si="1"/>
        <v>46136</v>
      </c>
      <c r="N38" s="115">
        <v>45993</v>
      </c>
      <c r="O38" s="12"/>
      <c r="P38" s="24" t="s">
        <v>29</v>
      </c>
      <c r="Q38" s="46" t="s">
        <v>31</v>
      </c>
      <c r="R38" s="46" t="s">
        <v>30</v>
      </c>
      <c r="S38" s="46"/>
      <c r="T38" s="24" t="s">
        <v>30</v>
      </c>
      <c r="U38" s="24"/>
    </row>
    <row r="39" spans="1:21" ht="15.75">
      <c r="A39" s="3" t="s">
        <v>162</v>
      </c>
      <c r="B39" s="5" t="s">
        <v>163</v>
      </c>
      <c r="C39" s="6" t="s">
        <v>164</v>
      </c>
      <c r="D39" s="7" t="s">
        <v>24</v>
      </c>
      <c r="E39" s="8" t="s">
        <v>123</v>
      </c>
      <c r="F39" s="8"/>
      <c r="G39" s="8" t="s">
        <v>26</v>
      </c>
      <c r="H39" s="9">
        <v>46106</v>
      </c>
      <c r="I39" s="8" t="s">
        <v>26</v>
      </c>
      <c r="J39" s="8" t="s">
        <v>54</v>
      </c>
      <c r="K39" s="10" t="s">
        <v>165</v>
      </c>
      <c r="L39" s="16">
        <v>46105</v>
      </c>
      <c r="M39" s="68">
        <f t="shared" si="1"/>
        <v>46136</v>
      </c>
      <c r="N39" s="119">
        <v>45988</v>
      </c>
      <c r="O39" s="8"/>
      <c r="P39" s="24" t="s">
        <v>29</v>
      </c>
      <c r="Q39" s="46" t="s">
        <v>31</v>
      </c>
      <c r="R39" s="46" t="s">
        <v>30</v>
      </c>
      <c r="S39" s="46"/>
      <c r="T39" s="24" t="s">
        <v>30</v>
      </c>
      <c r="U39" s="24"/>
    </row>
    <row r="40" spans="1:21" ht="15.75">
      <c r="A40" s="3" t="s">
        <v>166</v>
      </c>
      <c r="B40" s="5" t="s">
        <v>167</v>
      </c>
      <c r="C40" s="6" t="s">
        <v>168</v>
      </c>
      <c r="D40" s="7" t="s">
        <v>24</v>
      </c>
      <c r="E40" s="8" t="s">
        <v>123</v>
      </c>
      <c r="F40" s="8"/>
      <c r="G40" s="8" t="s">
        <v>26</v>
      </c>
      <c r="H40" s="9">
        <v>46106</v>
      </c>
      <c r="I40" s="8" t="s">
        <v>26</v>
      </c>
      <c r="J40" s="8" t="s">
        <v>54</v>
      </c>
      <c r="K40" s="10" t="s">
        <v>169</v>
      </c>
      <c r="L40" s="16">
        <v>46105</v>
      </c>
      <c r="M40" s="68">
        <f t="shared" si="1"/>
        <v>46136</v>
      </c>
      <c r="N40" s="119">
        <v>45985</v>
      </c>
      <c r="O40" s="8"/>
      <c r="P40" s="24" t="s">
        <v>29</v>
      </c>
      <c r="Q40" s="46" t="s">
        <v>31</v>
      </c>
      <c r="R40" s="46" t="s">
        <v>30</v>
      </c>
      <c r="S40" s="46"/>
      <c r="T40" s="24" t="s">
        <v>30</v>
      </c>
      <c r="U40" s="24"/>
    </row>
    <row r="41" spans="1:21" ht="15.75">
      <c r="A41" s="3" t="s">
        <v>170</v>
      </c>
      <c r="B41" s="5" t="s">
        <v>171</v>
      </c>
      <c r="C41" s="6" t="s">
        <v>172</v>
      </c>
      <c r="D41" s="7" t="s">
        <v>63</v>
      </c>
      <c r="E41" s="12" t="s">
        <v>123</v>
      </c>
      <c r="F41" s="12"/>
      <c r="G41" s="12" t="s">
        <v>26</v>
      </c>
      <c r="H41" s="13">
        <v>46106</v>
      </c>
      <c r="I41" s="8" t="s">
        <v>26</v>
      </c>
      <c r="J41" s="8" t="s">
        <v>54</v>
      </c>
      <c r="K41" s="10" t="s">
        <v>173</v>
      </c>
      <c r="L41" s="16">
        <v>46105</v>
      </c>
      <c r="M41" s="68">
        <f t="shared" si="1"/>
        <v>46136</v>
      </c>
      <c r="N41" s="115">
        <v>46138</v>
      </c>
      <c r="O41" s="12" t="s">
        <v>174</v>
      </c>
      <c r="P41" s="24" t="s">
        <v>29</v>
      </c>
      <c r="Q41" s="46" t="s">
        <v>31</v>
      </c>
      <c r="R41" s="46" t="s">
        <v>31</v>
      </c>
      <c r="S41" s="46">
        <v>14764</v>
      </c>
      <c r="T41" s="24" t="s">
        <v>30</v>
      </c>
      <c r="U41" s="24"/>
    </row>
    <row r="42" spans="1:21" ht="15.75">
      <c r="A42" s="3" t="s">
        <v>175</v>
      </c>
      <c r="B42" s="5" t="s">
        <v>176</v>
      </c>
      <c r="C42" s="6" t="s">
        <v>177</v>
      </c>
      <c r="D42" s="7" t="s">
        <v>24</v>
      </c>
      <c r="E42" s="8" t="s">
        <v>123</v>
      </c>
      <c r="F42" s="8"/>
      <c r="G42" s="8" t="s">
        <v>26</v>
      </c>
      <c r="H42" s="9">
        <v>46106</v>
      </c>
      <c r="I42" s="12" t="s">
        <v>26</v>
      </c>
      <c r="J42" s="8" t="s">
        <v>54</v>
      </c>
      <c r="K42" s="10" t="s">
        <v>178</v>
      </c>
      <c r="L42" s="16">
        <v>46105</v>
      </c>
      <c r="M42" s="68">
        <f t="shared" si="1"/>
        <v>46136</v>
      </c>
      <c r="N42" s="119">
        <v>45975</v>
      </c>
      <c r="O42" s="8"/>
      <c r="P42" s="24" t="s">
        <v>29</v>
      </c>
      <c r="Q42" s="46" t="s">
        <v>31</v>
      </c>
      <c r="R42" s="46" t="s">
        <v>30</v>
      </c>
      <c r="S42" s="46"/>
      <c r="T42" s="24" t="s">
        <v>30</v>
      </c>
      <c r="U42" s="24"/>
    </row>
    <row r="43" spans="1:21" ht="15.75">
      <c r="A43" s="3" t="s">
        <v>179</v>
      </c>
      <c r="B43" s="15" t="s">
        <v>180</v>
      </c>
      <c r="C43" s="6" t="s">
        <v>181</v>
      </c>
      <c r="D43" s="7" t="s">
        <v>24</v>
      </c>
      <c r="E43" s="12" t="s">
        <v>25</v>
      </c>
      <c r="F43" s="12" t="s">
        <v>105</v>
      </c>
      <c r="G43" s="12" t="s">
        <v>26</v>
      </c>
      <c r="H43" s="13">
        <v>46095</v>
      </c>
      <c r="I43" s="8" t="s">
        <v>26</v>
      </c>
      <c r="J43" s="8" t="s">
        <v>27</v>
      </c>
      <c r="K43" s="10" t="s">
        <v>28</v>
      </c>
      <c r="L43" s="16">
        <v>46095</v>
      </c>
      <c r="M43" s="16">
        <v>46125</v>
      </c>
      <c r="N43" s="115">
        <v>46094</v>
      </c>
      <c r="O43" s="12" t="s">
        <v>182</v>
      </c>
      <c r="P43" s="24" t="s">
        <v>29</v>
      </c>
      <c r="Q43" s="46" t="s">
        <v>31</v>
      </c>
      <c r="R43" s="46" t="s">
        <v>30</v>
      </c>
      <c r="S43" s="46"/>
      <c r="T43" s="24" t="s">
        <v>30</v>
      </c>
      <c r="U43" s="24"/>
    </row>
    <row r="44" spans="1:21" ht="15.75">
      <c r="A44" s="3" t="s">
        <v>183</v>
      </c>
      <c r="B44" s="15" t="s">
        <v>184</v>
      </c>
      <c r="C44" s="6" t="s">
        <v>185</v>
      </c>
      <c r="D44" s="7" t="s">
        <v>24</v>
      </c>
      <c r="E44" s="12" t="s">
        <v>123</v>
      </c>
      <c r="F44" s="12"/>
      <c r="G44" s="12"/>
      <c r="H44" s="14"/>
      <c r="I44" s="8"/>
      <c r="J44" s="8"/>
      <c r="K44" s="10"/>
      <c r="L44" s="11"/>
      <c r="M44" s="16" t="str">
        <f t="shared" ref="M44:M53" si="2">IF(L44="","",EDATE(L44,1))</f>
        <v/>
      </c>
      <c r="N44" s="115">
        <v>46054</v>
      </c>
      <c r="O44" s="12"/>
      <c r="P44" s="24" t="s">
        <v>29</v>
      </c>
      <c r="Q44" s="46" t="s">
        <v>31</v>
      </c>
      <c r="R44" s="46" t="s">
        <v>30</v>
      </c>
      <c r="S44" s="46"/>
      <c r="T44" s="24" t="s">
        <v>30</v>
      </c>
      <c r="U44" s="24"/>
    </row>
    <row r="45" spans="1:21" ht="15.75">
      <c r="A45" s="3" t="s">
        <v>186</v>
      </c>
      <c r="B45" s="15" t="s">
        <v>187</v>
      </c>
      <c r="C45" s="6" t="s">
        <v>188</v>
      </c>
      <c r="D45" s="7" t="s">
        <v>2525</v>
      </c>
      <c r="E45" s="12" t="s">
        <v>123</v>
      </c>
      <c r="F45" s="12"/>
      <c r="G45" s="12"/>
      <c r="H45" s="14"/>
      <c r="I45" s="8"/>
      <c r="J45" s="8"/>
      <c r="K45" s="10"/>
      <c r="L45" s="11"/>
      <c r="M45" s="16" t="str">
        <f t="shared" si="2"/>
        <v/>
      </c>
      <c r="N45" s="115">
        <v>46036</v>
      </c>
      <c r="O45" s="12"/>
      <c r="P45" s="24" t="s">
        <v>2524</v>
      </c>
      <c r="Q45" s="46" t="s">
        <v>30</v>
      </c>
      <c r="R45" s="46" t="s">
        <v>30</v>
      </c>
      <c r="S45" s="46"/>
      <c r="T45" s="24" t="s">
        <v>30</v>
      </c>
      <c r="U45" s="24"/>
    </row>
    <row r="46" spans="1:21" ht="15.75">
      <c r="A46" s="3" t="s">
        <v>189</v>
      </c>
      <c r="B46" s="15" t="s">
        <v>190</v>
      </c>
      <c r="C46" s="6" t="s">
        <v>191</v>
      </c>
      <c r="D46" s="7" t="s">
        <v>2525</v>
      </c>
      <c r="E46" s="12" t="s">
        <v>123</v>
      </c>
      <c r="F46" s="12"/>
      <c r="G46" s="12"/>
      <c r="H46" s="14"/>
      <c r="I46" s="8"/>
      <c r="J46" s="8"/>
      <c r="K46" s="10"/>
      <c r="L46" s="11"/>
      <c r="M46" s="16" t="str">
        <f t="shared" si="2"/>
        <v/>
      </c>
      <c r="N46" s="115">
        <v>46056</v>
      </c>
      <c r="O46" s="12"/>
      <c r="P46" s="24" t="s">
        <v>2524</v>
      </c>
      <c r="Q46" s="46" t="s">
        <v>30</v>
      </c>
      <c r="R46" s="46" t="s">
        <v>30</v>
      </c>
      <c r="S46" s="46"/>
      <c r="T46" s="24" t="s">
        <v>30</v>
      </c>
      <c r="U46" s="24"/>
    </row>
    <row r="47" spans="1:21" ht="15.75">
      <c r="A47" s="3" t="s">
        <v>192</v>
      </c>
      <c r="B47" s="15" t="s">
        <v>193</v>
      </c>
      <c r="C47" s="6" t="s">
        <v>194</v>
      </c>
      <c r="D47" s="7" t="s">
        <v>24</v>
      </c>
      <c r="E47" s="12" t="s">
        <v>123</v>
      </c>
      <c r="F47" s="12"/>
      <c r="G47" s="12"/>
      <c r="H47" s="14"/>
      <c r="I47" s="8"/>
      <c r="J47" s="8"/>
      <c r="K47" s="10"/>
      <c r="L47" s="11"/>
      <c r="M47" s="16" t="str">
        <f t="shared" si="2"/>
        <v/>
      </c>
      <c r="N47" s="115">
        <v>46068</v>
      </c>
      <c r="O47" s="12"/>
      <c r="P47" s="24" t="s">
        <v>29</v>
      </c>
      <c r="Q47" s="46" t="s">
        <v>31</v>
      </c>
      <c r="R47" s="46" t="s">
        <v>30</v>
      </c>
      <c r="S47" s="46"/>
      <c r="T47" s="24" t="s">
        <v>30</v>
      </c>
      <c r="U47" s="24"/>
    </row>
    <row r="48" spans="1:21" ht="15.75">
      <c r="A48" s="3" t="s">
        <v>195</v>
      </c>
      <c r="B48" s="15" t="s">
        <v>196</v>
      </c>
      <c r="C48" s="6" t="s">
        <v>197</v>
      </c>
      <c r="D48" s="7" t="s">
        <v>2525</v>
      </c>
      <c r="E48" s="12" t="s">
        <v>123</v>
      </c>
      <c r="F48" s="12"/>
      <c r="G48" s="12"/>
      <c r="H48" s="14"/>
      <c r="I48" s="8"/>
      <c r="J48" s="8"/>
      <c r="K48" s="10"/>
      <c r="L48" s="11"/>
      <c r="M48" s="16" t="str">
        <f t="shared" si="2"/>
        <v/>
      </c>
      <c r="N48" s="115">
        <v>46071</v>
      </c>
      <c r="O48" s="12"/>
      <c r="P48" s="24" t="s">
        <v>2524</v>
      </c>
      <c r="Q48" s="46" t="s">
        <v>30</v>
      </c>
      <c r="R48" s="46" t="s">
        <v>30</v>
      </c>
      <c r="S48" s="46"/>
      <c r="T48" s="24" t="s">
        <v>30</v>
      </c>
      <c r="U48" s="24"/>
    </row>
    <row r="49" spans="1:21" ht="15.75">
      <c r="A49" s="3" t="s">
        <v>198</v>
      </c>
      <c r="B49" s="15" t="s">
        <v>199</v>
      </c>
      <c r="C49" s="6" t="s">
        <v>200</v>
      </c>
      <c r="D49" s="7" t="s">
        <v>2525</v>
      </c>
      <c r="E49" s="12" t="s">
        <v>123</v>
      </c>
      <c r="F49" s="12"/>
      <c r="G49" s="12"/>
      <c r="H49" s="14"/>
      <c r="I49" s="8"/>
      <c r="J49" s="8"/>
      <c r="K49" s="10"/>
      <c r="L49" s="11"/>
      <c r="M49" s="16" t="str">
        <f t="shared" si="2"/>
        <v/>
      </c>
      <c r="N49" s="115">
        <v>46069</v>
      </c>
      <c r="O49" s="12"/>
      <c r="P49" s="24" t="s">
        <v>2524</v>
      </c>
      <c r="Q49" s="46" t="s">
        <v>30</v>
      </c>
      <c r="R49" s="46" t="s">
        <v>30</v>
      </c>
      <c r="S49" s="46"/>
      <c r="T49" s="24" t="s">
        <v>30</v>
      </c>
      <c r="U49" s="24"/>
    </row>
    <row r="50" spans="1:21" ht="15.75">
      <c r="A50" s="3" t="s">
        <v>201</v>
      </c>
      <c r="B50" s="15" t="s">
        <v>202</v>
      </c>
      <c r="C50" s="6" t="s">
        <v>203</v>
      </c>
      <c r="D50" s="7" t="s">
        <v>42</v>
      </c>
      <c r="E50" s="12" t="s">
        <v>123</v>
      </c>
      <c r="F50" s="12"/>
      <c r="G50" s="12"/>
      <c r="H50" s="14"/>
      <c r="I50" s="8"/>
      <c r="J50" s="8"/>
      <c r="K50" s="10"/>
      <c r="L50" s="11"/>
      <c r="M50" s="16" t="str">
        <f t="shared" si="2"/>
        <v/>
      </c>
      <c r="N50" s="115">
        <v>46065</v>
      </c>
      <c r="O50" s="12"/>
      <c r="P50" s="24" t="s">
        <v>29</v>
      </c>
      <c r="Q50" s="46" t="s">
        <v>31</v>
      </c>
      <c r="R50" s="46" t="s">
        <v>30</v>
      </c>
      <c r="S50" s="46"/>
      <c r="T50" s="24" t="s">
        <v>30</v>
      </c>
      <c r="U50" s="24"/>
    </row>
    <row r="51" spans="1:21" ht="15.75">
      <c r="A51" s="3" t="s">
        <v>204</v>
      </c>
      <c r="B51" s="15" t="s">
        <v>205</v>
      </c>
      <c r="C51" s="6" t="s">
        <v>206</v>
      </c>
      <c r="D51" s="7" t="s">
        <v>24</v>
      </c>
      <c r="E51" s="12" t="s">
        <v>123</v>
      </c>
      <c r="F51" s="12"/>
      <c r="G51" s="12"/>
      <c r="H51" s="14"/>
      <c r="I51" s="8"/>
      <c r="J51" s="8"/>
      <c r="K51" s="10"/>
      <c r="L51" s="11"/>
      <c r="M51" s="16" t="str">
        <f t="shared" si="2"/>
        <v/>
      </c>
      <c r="N51" s="115">
        <v>46064</v>
      </c>
      <c r="O51" s="12"/>
      <c r="P51" s="24" t="s">
        <v>29</v>
      </c>
      <c r="Q51" s="46" t="s">
        <v>31</v>
      </c>
      <c r="R51" s="46" t="s">
        <v>30</v>
      </c>
      <c r="S51" s="46"/>
      <c r="T51" s="24" t="s">
        <v>30</v>
      </c>
      <c r="U51" s="24"/>
    </row>
    <row r="52" spans="1:21" ht="15.75">
      <c r="A52" s="3" t="s">
        <v>207</v>
      </c>
      <c r="B52" s="15" t="s">
        <v>208</v>
      </c>
      <c r="C52" s="6" t="s">
        <v>209</v>
      </c>
      <c r="D52" s="7" t="s">
        <v>42</v>
      </c>
      <c r="E52" s="12" t="s">
        <v>25</v>
      </c>
      <c r="F52" s="12"/>
      <c r="G52" s="12"/>
      <c r="H52" s="14"/>
      <c r="I52" s="8"/>
      <c r="J52" s="8"/>
      <c r="K52" s="10"/>
      <c r="L52" s="16"/>
      <c r="M52" s="16" t="str">
        <f t="shared" si="2"/>
        <v/>
      </c>
      <c r="N52" s="115">
        <v>46151</v>
      </c>
      <c r="O52" s="12"/>
      <c r="P52" s="24" t="s">
        <v>2524</v>
      </c>
      <c r="Q52" s="46" t="s">
        <v>31</v>
      </c>
      <c r="R52" s="46" t="s">
        <v>30</v>
      </c>
      <c r="S52" s="46"/>
      <c r="T52" s="24" t="s">
        <v>31</v>
      </c>
      <c r="U52" s="24">
        <v>7228.24</v>
      </c>
    </row>
    <row r="53" spans="1:21" ht="15.75">
      <c r="A53" s="3" t="s">
        <v>210</v>
      </c>
      <c r="B53" s="15" t="s">
        <v>211</v>
      </c>
      <c r="C53" s="6" t="s">
        <v>212</v>
      </c>
      <c r="D53" s="7" t="s">
        <v>24</v>
      </c>
      <c r="E53" s="12" t="s">
        <v>123</v>
      </c>
      <c r="F53" s="12"/>
      <c r="G53" s="12"/>
      <c r="H53" s="14"/>
      <c r="I53" s="8"/>
      <c r="J53" s="8"/>
      <c r="K53" s="10"/>
      <c r="L53" s="11"/>
      <c r="M53" s="16" t="str">
        <f t="shared" si="2"/>
        <v/>
      </c>
      <c r="N53" s="115">
        <v>46006</v>
      </c>
      <c r="O53" s="12"/>
      <c r="P53" s="24" t="s">
        <v>29</v>
      </c>
      <c r="Q53" s="46" t="s">
        <v>31</v>
      </c>
      <c r="R53" s="46" t="s">
        <v>30</v>
      </c>
      <c r="S53" s="46"/>
      <c r="T53" s="24" t="s">
        <v>30</v>
      </c>
      <c r="U53" s="24"/>
    </row>
    <row r="54" spans="1:21" s="41" customFormat="1" ht="15.75">
      <c r="A54" s="3" t="s">
        <v>213</v>
      </c>
      <c r="B54" s="15" t="s">
        <v>214</v>
      </c>
      <c r="C54" s="6" t="s">
        <v>215</v>
      </c>
      <c r="D54" s="7" t="s">
        <v>24</v>
      </c>
      <c r="E54" s="12" t="s">
        <v>25</v>
      </c>
      <c r="F54" s="12"/>
      <c r="G54" s="12" t="s">
        <v>26</v>
      </c>
      <c r="H54" s="13">
        <v>46109</v>
      </c>
      <c r="I54" s="8" t="s">
        <v>26</v>
      </c>
      <c r="J54" s="8" t="s">
        <v>27</v>
      </c>
      <c r="K54" s="10" t="s">
        <v>28</v>
      </c>
      <c r="L54" s="16">
        <v>46109</v>
      </c>
      <c r="M54" s="16">
        <v>46139</v>
      </c>
      <c r="N54" s="115">
        <v>46108</v>
      </c>
      <c r="O54" s="12"/>
      <c r="P54" s="24" t="s">
        <v>29</v>
      </c>
      <c r="Q54" s="46" t="s">
        <v>31</v>
      </c>
      <c r="R54" s="46" t="s">
        <v>30</v>
      </c>
      <c r="S54" s="46"/>
      <c r="T54" s="24" t="s">
        <v>30</v>
      </c>
      <c r="U54" s="24"/>
    </row>
    <row r="55" spans="1:21" ht="15.75">
      <c r="A55" s="3" t="s">
        <v>216</v>
      </c>
      <c r="B55" s="15" t="s">
        <v>217</v>
      </c>
      <c r="C55" s="6" t="s">
        <v>218</v>
      </c>
      <c r="D55" s="7" t="s">
        <v>24</v>
      </c>
      <c r="E55" s="12" t="s">
        <v>123</v>
      </c>
      <c r="F55" s="12"/>
      <c r="G55" s="12"/>
      <c r="H55" s="14"/>
      <c r="I55" s="8" t="s">
        <v>26</v>
      </c>
      <c r="J55" s="8" t="s">
        <v>219</v>
      </c>
      <c r="K55" s="10" t="s">
        <v>220</v>
      </c>
      <c r="L55" s="16" t="s">
        <v>29</v>
      </c>
      <c r="M55" s="16" t="s">
        <v>221</v>
      </c>
      <c r="N55" s="115">
        <v>45971</v>
      </c>
      <c r="O55" s="12"/>
      <c r="P55" s="24" t="s">
        <v>29</v>
      </c>
      <c r="Q55" s="46" t="s">
        <v>31</v>
      </c>
      <c r="R55" s="46" t="s">
        <v>30</v>
      </c>
      <c r="S55" s="46"/>
      <c r="T55" s="24" t="s">
        <v>30</v>
      </c>
      <c r="U55" s="24"/>
    </row>
    <row r="56" spans="1:21" ht="15.75">
      <c r="A56" s="3" t="s">
        <v>222</v>
      </c>
      <c r="B56" s="15" t="s">
        <v>223</v>
      </c>
      <c r="C56" s="6" t="s">
        <v>224</v>
      </c>
      <c r="D56" s="7" t="s">
        <v>24</v>
      </c>
      <c r="E56" s="12" t="s">
        <v>123</v>
      </c>
      <c r="F56" s="12"/>
      <c r="G56" s="12"/>
      <c r="H56" s="14"/>
      <c r="I56" s="8" t="s">
        <v>26</v>
      </c>
      <c r="J56" s="8" t="s">
        <v>219</v>
      </c>
      <c r="K56" s="10" t="s">
        <v>220</v>
      </c>
      <c r="L56" s="16" t="s">
        <v>29</v>
      </c>
      <c r="M56" s="16" t="s">
        <v>221</v>
      </c>
      <c r="N56" s="115">
        <v>45997</v>
      </c>
      <c r="O56" s="12"/>
      <c r="P56" s="24" t="s">
        <v>29</v>
      </c>
      <c r="Q56" s="46" t="s">
        <v>31</v>
      </c>
      <c r="R56" s="46" t="s">
        <v>30</v>
      </c>
      <c r="S56" s="46"/>
      <c r="T56" s="24" t="s">
        <v>30</v>
      </c>
      <c r="U56" s="24"/>
    </row>
    <row r="57" spans="1:21" ht="15.75">
      <c r="A57" s="3" t="s">
        <v>225</v>
      </c>
      <c r="B57" s="15" t="s">
        <v>226</v>
      </c>
      <c r="C57" s="6" t="s">
        <v>227</v>
      </c>
      <c r="D57" s="7" t="s">
        <v>24</v>
      </c>
      <c r="E57" s="12" t="s">
        <v>123</v>
      </c>
      <c r="F57" s="12"/>
      <c r="G57" s="12"/>
      <c r="H57" s="14"/>
      <c r="I57" s="8"/>
      <c r="J57" s="8"/>
      <c r="K57" s="10"/>
      <c r="L57" s="11"/>
      <c r="M57" s="16" t="str">
        <f t="shared" ref="M57:M75" si="3">IF(L57="","",EDATE(L57,1))</f>
        <v/>
      </c>
      <c r="N57" s="115">
        <v>46030</v>
      </c>
      <c r="O57" s="12"/>
      <c r="P57" s="24" t="s">
        <v>29</v>
      </c>
      <c r="Q57" s="46" t="s">
        <v>31</v>
      </c>
      <c r="R57" s="46" t="s">
        <v>30</v>
      </c>
      <c r="S57" s="46"/>
      <c r="T57" s="24" t="s">
        <v>30</v>
      </c>
      <c r="U57" s="24"/>
    </row>
    <row r="58" spans="1:21" ht="49.5" customHeight="1">
      <c r="A58" s="3" t="s">
        <v>228</v>
      </c>
      <c r="B58" s="15" t="s">
        <v>229</v>
      </c>
      <c r="C58" s="6" t="s">
        <v>230</v>
      </c>
      <c r="D58" s="7" t="s">
        <v>24</v>
      </c>
      <c r="E58" s="12" t="s">
        <v>123</v>
      </c>
      <c r="F58" s="12"/>
      <c r="G58" s="12"/>
      <c r="H58" s="14"/>
      <c r="I58" s="8" t="s">
        <v>26</v>
      </c>
      <c r="J58" s="8" t="s">
        <v>219</v>
      </c>
      <c r="K58" s="10" t="s">
        <v>220</v>
      </c>
      <c r="L58" s="16" t="s">
        <v>29</v>
      </c>
      <c r="M58" s="16" t="s">
        <v>221</v>
      </c>
      <c r="N58" s="115">
        <v>46010</v>
      </c>
      <c r="O58" s="12"/>
      <c r="P58" s="24" t="s">
        <v>29</v>
      </c>
      <c r="Q58" s="46" t="s">
        <v>31</v>
      </c>
      <c r="R58" s="46" t="s">
        <v>30</v>
      </c>
      <c r="S58" s="46"/>
      <c r="T58" s="24" t="s">
        <v>30</v>
      </c>
      <c r="U58" s="24"/>
    </row>
    <row r="59" spans="1:21" ht="15.75">
      <c r="A59" s="3" t="s">
        <v>231</v>
      </c>
      <c r="B59" s="15" t="s">
        <v>232</v>
      </c>
      <c r="C59" s="6" t="s">
        <v>233</v>
      </c>
      <c r="D59" s="7" t="s">
        <v>24</v>
      </c>
      <c r="E59" s="12" t="s">
        <v>123</v>
      </c>
      <c r="F59" s="12"/>
      <c r="G59" s="12"/>
      <c r="H59" s="14"/>
      <c r="I59" s="8" t="s">
        <v>26</v>
      </c>
      <c r="J59" s="8" t="s">
        <v>219</v>
      </c>
      <c r="K59" s="10" t="s">
        <v>220</v>
      </c>
      <c r="L59" s="16" t="s">
        <v>29</v>
      </c>
      <c r="M59" s="16" t="s">
        <v>221</v>
      </c>
      <c r="N59" s="115">
        <v>45982</v>
      </c>
      <c r="O59" s="12"/>
      <c r="P59" s="24" t="s">
        <v>29</v>
      </c>
      <c r="Q59" s="46" t="s">
        <v>31</v>
      </c>
      <c r="R59" s="46" t="s">
        <v>30</v>
      </c>
      <c r="S59" s="46"/>
      <c r="T59" s="24" t="s">
        <v>30</v>
      </c>
      <c r="U59" s="24"/>
    </row>
    <row r="60" spans="1:21" ht="15.75">
      <c r="A60" s="3" t="s">
        <v>234</v>
      </c>
      <c r="B60" s="15" t="s">
        <v>235</v>
      </c>
      <c r="C60" s="6" t="s">
        <v>236</v>
      </c>
      <c r="D60" s="7" t="s">
        <v>24</v>
      </c>
      <c r="E60" s="12" t="s">
        <v>123</v>
      </c>
      <c r="F60" s="12"/>
      <c r="G60" s="12"/>
      <c r="H60" s="14"/>
      <c r="I60" s="8"/>
      <c r="J60" s="8"/>
      <c r="K60" s="10"/>
      <c r="L60" s="11"/>
      <c r="M60" s="16" t="str">
        <f t="shared" si="3"/>
        <v/>
      </c>
      <c r="N60" s="115">
        <v>46029</v>
      </c>
      <c r="O60" s="12"/>
      <c r="P60" s="24" t="s">
        <v>29</v>
      </c>
      <c r="Q60" s="46" t="s">
        <v>31</v>
      </c>
      <c r="R60" s="46" t="s">
        <v>30</v>
      </c>
      <c r="S60" s="46"/>
      <c r="T60" s="24" t="s">
        <v>30</v>
      </c>
      <c r="U60" s="24"/>
    </row>
    <row r="61" spans="1:21" ht="31.5">
      <c r="A61" s="3" t="s">
        <v>237</v>
      </c>
      <c r="B61" s="15" t="s">
        <v>238</v>
      </c>
      <c r="C61" s="6" t="s">
        <v>239</v>
      </c>
      <c r="D61" s="7" t="s">
        <v>24</v>
      </c>
      <c r="E61" s="12" t="s">
        <v>123</v>
      </c>
      <c r="F61" s="12"/>
      <c r="G61" s="12"/>
      <c r="H61" s="14"/>
      <c r="I61" s="8"/>
      <c r="J61" s="8"/>
      <c r="K61" s="10"/>
      <c r="L61" s="11"/>
      <c r="M61" s="16" t="str">
        <f t="shared" si="3"/>
        <v/>
      </c>
      <c r="N61" s="115">
        <v>46057</v>
      </c>
      <c r="O61" s="12"/>
      <c r="P61" s="24" t="s">
        <v>29</v>
      </c>
      <c r="Q61" s="46" t="s">
        <v>31</v>
      </c>
      <c r="R61" s="46" t="s">
        <v>30</v>
      </c>
      <c r="S61" s="46"/>
      <c r="T61" s="24" t="s">
        <v>30</v>
      </c>
      <c r="U61" s="24"/>
    </row>
    <row r="62" spans="1:21" ht="15.75">
      <c r="A62" s="3" t="s">
        <v>240</v>
      </c>
      <c r="B62" s="15" t="s">
        <v>241</v>
      </c>
      <c r="C62" s="6" t="s">
        <v>242</v>
      </c>
      <c r="D62" s="7" t="s">
        <v>24</v>
      </c>
      <c r="E62" s="12" t="s">
        <v>123</v>
      </c>
      <c r="F62" s="12"/>
      <c r="G62" s="12"/>
      <c r="H62" s="14"/>
      <c r="I62" s="8"/>
      <c r="J62" s="8"/>
      <c r="K62" s="10"/>
      <c r="L62" s="11"/>
      <c r="M62" s="16" t="str">
        <f t="shared" si="3"/>
        <v/>
      </c>
      <c r="N62" s="115">
        <v>46083</v>
      </c>
      <c r="O62" s="12"/>
      <c r="P62" s="24" t="s">
        <v>29</v>
      </c>
      <c r="Q62" s="46" t="s">
        <v>31</v>
      </c>
      <c r="R62" s="46" t="s">
        <v>30</v>
      </c>
      <c r="S62" s="46"/>
      <c r="T62" s="24" t="s">
        <v>30</v>
      </c>
      <c r="U62" s="24"/>
    </row>
    <row r="63" spans="1:21" ht="15.75">
      <c r="A63" s="3" t="s">
        <v>243</v>
      </c>
      <c r="B63" s="15" t="s">
        <v>244</v>
      </c>
      <c r="C63" s="6" t="s">
        <v>245</v>
      </c>
      <c r="D63" s="7" t="s">
        <v>24</v>
      </c>
      <c r="E63" s="12" t="s">
        <v>123</v>
      </c>
      <c r="F63" s="12"/>
      <c r="G63" s="12"/>
      <c r="H63" s="14"/>
      <c r="I63" s="8" t="s">
        <v>26</v>
      </c>
      <c r="J63" s="8" t="s">
        <v>219</v>
      </c>
      <c r="K63" s="10" t="s">
        <v>220</v>
      </c>
      <c r="L63" s="16" t="s">
        <v>29</v>
      </c>
      <c r="M63" s="16" t="s">
        <v>221</v>
      </c>
      <c r="N63" s="115">
        <v>45999</v>
      </c>
      <c r="O63" s="12"/>
      <c r="P63" s="24" t="s">
        <v>29</v>
      </c>
      <c r="Q63" s="46" t="s">
        <v>31</v>
      </c>
      <c r="R63" s="46" t="s">
        <v>30</v>
      </c>
      <c r="S63" s="46"/>
      <c r="T63" s="24" t="s">
        <v>30</v>
      </c>
      <c r="U63" s="24"/>
    </row>
    <row r="64" spans="1:21" ht="15.75">
      <c r="A64" s="3" t="s">
        <v>246</v>
      </c>
      <c r="B64" s="15" t="s">
        <v>247</v>
      </c>
      <c r="C64" s="6" t="s">
        <v>248</v>
      </c>
      <c r="D64" s="7" t="s">
        <v>24</v>
      </c>
      <c r="E64" s="12" t="s">
        <v>123</v>
      </c>
      <c r="F64" s="12"/>
      <c r="G64" s="12"/>
      <c r="H64" s="14"/>
      <c r="I64" s="8" t="s">
        <v>26</v>
      </c>
      <c r="J64" s="8" t="s">
        <v>219</v>
      </c>
      <c r="K64" s="10" t="s">
        <v>220</v>
      </c>
      <c r="L64" s="16" t="s">
        <v>29</v>
      </c>
      <c r="M64" s="16" t="s">
        <v>221</v>
      </c>
      <c r="N64" s="115">
        <v>45979</v>
      </c>
      <c r="O64" s="12"/>
      <c r="P64" s="24" t="s">
        <v>29</v>
      </c>
      <c r="Q64" s="46" t="s">
        <v>31</v>
      </c>
      <c r="R64" s="46" t="s">
        <v>30</v>
      </c>
      <c r="S64" s="46"/>
      <c r="T64" s="24" t="s">
        <v>30</v>
      </c>
      <c r="U64" s="24"/>
    </row>
    <row r="65" spans="1:21" ht="15.75">
      <c r="A65" s="3" t="s">
        <v>249</v>
      </c>
      <c r="B65" s="15" t="s">
        <v>250</v>
      </c>
      <c r="C65" s="6" t="s">
        <v>251</v>
      </c>
      <c r="D65" s="7" t="s">
        <v>24</v>
      </c>
      <c r="E65" s="12" t="s">
        <v>123</v>
      </c>
      <c r="F65" s="12"/>
      <c r="G65" s="12"/>
      <c r="H65" s="14"/>
      <c r="I65" s="8" t="s">
        <v>26</v>
      </c>
      <c r="J65" s="8" t="s">
        <v>219</v>
      </c>
      <c r="K65" s="10" t="s">
        <v>220</v>
      </c>
      <c r="L65" s="16" t="s">
        <v>29</v>
      </c>
      <c r="M65" s="16" t="s">
        <v>221</v>
      </c>
      <c r="N65" s="115">
        <v>45982</v>
      </c>
      <c r="O65" s="12"/>
      <c r="P65" s="24" t="s">
        <v>29</v>
      </c>
      <c r="Q65" s="46" t="s">
        <v>31</v>
      </c>
      <c r="R65" s="46" t="s">
        <v>30</v>
      </c>
      <c r="S65" s="46"/>
      <c r="T65" s="24" t="s">
        <v>30</v>
      </c>
      <c r="U65" s="24"/>
    </row>
    <row r="66" spans="1:21" ht="15.75">
      <c r="A66" s="3" t="s">
        <v>252</v>
      </c>
      <c r="B66" s="15" t="s">
        <v>253</v>
      </c>
      <c r="C66" s="6" t="s">
        <v>254</v>
      </c>
      <c r="D66" s="7" t="s">
        <v>24</v>
      </c>
      <c r="E66" s="12" t="s">
        <v>123</v>
      </c>
      <c r="F66" s="12"/>
      <c r="G66" s="12"/>
      <c r="H66" s="14"/>
      <c r="I66" s="8" t="s">
        <v>26</v>
      </c>
      <c r="J66" s="8" t="s">
        <v>219</v>
      </c>
      <c r="K66" s="10" t="s">
        <v>220</v>
      </c>
      <c r="L66" s="16" t="s">
        <v>29</v>
      </c>
      <c r="M66" s="16" t="s">
        <v>221</v>
      </c>
      <c r="N66" s="115">
        <v>45986</v>
      </c>
      <c r="O66" s="12"/>
      <c r="P66" s="24" t="s">
        <v>29</v>
      </c>
      <c r="Q66" s="46" t="s">
        <v>31</v>
      </c>
      <c r="R66" s="46" t="s">
        <v>30</v>
      </c>
      <c r="S66" s="46"/>
      <c r="T66" s="24" t="s">
        <v>30</v>
      </c>
      <c r="U66" s="24"/>
    </row>
    <row r="67" spans="1:21" ht="15.75">
      <c r="A67" s="3" t="s">
        <v>255</v>
      </c>
      <c r="B67" s="15" t="s">
        <v>256</v>
      </c>
      <c r="C67" s="6" t="s">
        <v>257</v>
      </c>
      <c r="D67" s="7" t="s">
        <v>2525</v>
      </c>
      <c r="E67" s="12" t="s">
        <v>123</v>
      </c>
      <c r="F67" s="12"/>
      <c r="G67" s="12"/>
      <c r="H67" s="14"/>
      <c r="I67" s="8"/>
      <c r="J67" s="8"/>
      <c r="K67" s="10"/>
      <c r="L67" s="11"/>
      <c r="M67" s="16" t="str">
        <f t="shared" si="3"/>
        <v/>
      </c>
      <c r="N67" s="115">
        <v>46043</v>
      </c>
      <c r="O67" s="12"/>
      <c r="P67" s="24" t="s">
        <v>2524</v>
      </c>
      <c r="Q67" s="46" t="s">
        <v>30</v>
      </c>
      <c r="R67" s="46" t="s">
        <v>30</v>
      </c>
      <c r="S67" s="46"/>
      <c r="T67" s="24" t="s">
        <v>30</v>
      </c>
      <c r="U67" s="24"/>
    </row>
    <row r="68" spans="1:21" ht="15.75">
      <c r="A68" s="3" t="s">
        <v>258</v>
      </c>
      <c r="B68" s="15" t="s">
        <v>259</v>
      </c>
      <c r="C68" s="6" t="s">
        <v>260</v>
      </c>
      <c r="D68" s="7" t="s">
        <v>24</v>
      </c>
      <c r="E68" s="12" t="s">
        <v>123</v>
      </c>
      <c r="F68" s="12"/>
      <c r="G68" s="12"/>
      <c r="H68" s="14"/>
      <c r="I68" s="8"/>
      <c r="J68" s="8"/>
      <c r="K68" s="10"/>
      <c r="L68" s="11"/>
      <c r="M68" s="16" t="str">
        <f t="shared" si="3"/>
        <v/>
      </c>
      <c r="N68" s="115">
        <v>46049</v>
      </c>
      <c r="O68" s="12"/>
      <c r="P68" s="24" t="s">
        <v>29</v>
      </c>
      <c r="Q68" s="46" t="s">
        <v>31</v>
      </c>
      <c r="R68" s="46" t="s">
        <v>30</v>
      </c>
      <c r="S68" s="46"/>
      <c r="T68" s="24" t="s">
        <v>30</v>
      </c>
      <c r="U68" s="24"/>
    </row>
    <row r="69" spans="1:21" ht="15.75">
      <c r="A69" s="3" t="s">
        <v>261</v>
      </c>
      <c r="B69" s="15" t="s">
        <v>262</v>
      </c>
      <c r="C69" s="6" t="s">
        <v>263</v>
      </c>
      <c r="D69" s="7" t="s">
        <v>24</v>
      </c>
      <c r="E69" s="12" t="s">
        <v>123</v>
      </c>
      <c r="F69" s="12"/>
      <c r="G69" s="12"/>
      <c r="H69" s="14"/>
      <c r="I69" s="8" t="s">
        <v>26</v>
      </c>
      <c r="J69" s="8" t="s">
        <v>219</v>
      </c>
      <c r="K69" s="10" t="s">
        <v>220</v>
      </c>
      <c r="L69" s="16" t="s">
        <v>29</v>
      </c>
      <c r="M69" s="16" t="s">
        <v>221</v>
      </c>
      <c r="N69" s="115">
        <v>46002</v>
      </c>
      <c r="O69" s="12"/>
      <c r="P69" s="24" t="s">
        <v>29</v>
      </c>
      <c r="Q69" s="46" t="s">
        <v>31</v>
      </c>
      <c r="R69" s="46" t="s">
        <v>30</v>
      </c>
      <c r="S69" s="46"/>
      <c r="T69" s="24" t="s">
        <v>30</v>
      </c>
      <c r="U69" s="24"/>
    </row>
    <row r="70" spans="1:21" ht="15.75">
      <c r="A70" s="3" t="s">
        <v>264</v>
      </c>
      <c r="B70" s="15" t="s">
        <v>265</v>
      </c>
      <c r="C70" s="6" t="s">
        <v>266</v>
      </c>
      <c r="D70" s="7" t="s">
        <v>24</v>
      </c>
      <c r="E70" s="12" t="s">
        <v>123</v>
      </c>
      <c r="F70" s="12"/>
      <c r="G70" s="12"/>
      <c r="H70" s="14"/>
      <c r="I70" s="8" t="s">
        <v>26</v>
      </c>
      <c r="J70" s="8" t="s">
        <v>219</v>
      </c>
      <c r="K70" s="10" t="s">
        <v>220</v>
      </c>
      <c r="L70" s="16" t="s">
        <v>29</v>
      </c>
      <c r="M70" s="16" t="s">
        <v>221</v>
      </c>
      <c r="N70" s="115">
        <v>45962</v>
      </c>
      <c r="O70" s="12" t="s">
        <v>267</v>
      </c>
      <c r="P70" s="24" t="s">
        <v>2524</v>
      </c>
      <c r="Q70" s="46" t="s">
        <v>31</v>
      </c>
      <c r="R70" s="46" t="s">
        <v>30</v>
      </c>
      <c r="S70" s="46"/>
      <c r="T70" s="24" t="s">
        <v>30</v>
      </c>
      <c r="U70" s="24"/>
    </row>
    <row r="71" spans="1:21" ht="15.75">
      <c r="A71" s="3" t="s">
        <v>268</v>
      </c>
      <c r="B71" s="15" t="s">
        <v>269</v>
      </c>
      <c r="C71" s="6" t="s">
        <v>270</v>
      </c>
      <c r="D71" s="7" t="s">
        <v>42</v>
      </c>
      <c r="E71" s="12" t="s">
        <v>123</v>
      </c>
      <c r="F71" s="12"/>
      <c r="G71" s="12"/>
      <c r="H71" s="14"/>
      <c r="I71" s="8"/>
      <c r="J71" s="8"/>
      <c r="K71" s="10"/>
      <c r="L71" s="11"/>
      <c r="M71" s="16"/>
      <c r="N71" s="115">
        <v>46043</v>
      </c>
      <c r="O71" s="12"/>
      <c r="P71" s="24" t="s">
        <v>29</v>
      </c>
      <c r="Q71" s="46" t="s">
        <v>31</v>
      </c>
      <c r="R71" s="46" t="s">
        <v>30</v>
      </c>
      <c r="S71" s="46"/>
      <c r="T71" s="24" t="s">
        <v>30</v>
      </c>
      <c r="U71" s="24"/>
    </row>
    <row r="72" spans="1:21" ht="15.75">
      <c r="A72" s="3" t="s">
        <v>271</v>
      </c>
      <c r="B72" s="15" t="s">
        <v>272</v>
      </c>
      <c r="C72" s="6" t="s">
        <v>273</v>
      </c>
      <c r="D72" s="7" t="s">
        <v>24</v>
      </c>
      <c r="E72" s="12" t="s">
        <v>123</v>
      </c>
      <c r="F72" s="12"/>
      <c r="G72" s="12"/>
      <c r="H72" s="14"/>
      <c r="I72" s="8"/>
      <c r="J72" s="8"/>
      <c r="K72" s="10"/>
      <c r="L72" s="11"/>
      <c r="M72" s="16" t="str">
        <f t="shared" si="3"/>
        <v/>
      </c>
      <c r="N72" s="115">
        <v>45961</v>
      </c>
      <c r="O72" s="12"/>
      <c r="P72" s="24" t="s">
        <v>29</v>
      </c>
      <c r="Q72" s="46" t="s">
        <v>31</v>
      </c>
      <c r="R72" s="46" t="s">
        <v>30</v>
      </c>
      <c r="S72" s="46"/>
      <c r="T72" s="24" t="s">
        <v>30</v>
      </c>
      <c r="U72" s="24"/>
    </row>
    <row r="73" spans="1:21" ht="15.75">
      <c r="A73" s="3" t="s">
        <v>274</v>
      </c>
      <c r="B73" s="15" t="s">
        <v>275</v>
      </c>
      <c r="C73" s="6" t="s">
        <v>276</v>
      </c>
      <c r="D73" s="7" t="s">
        <v>42</v>
      </c>
      <c r="E73" s="12" t="s">
        <v>123</v>
      </c>
      <c r="F73" s="12"/>
      <c r="G73" s="12"/>
      <c r="H73" s="14"/>
      <c r="I73" s="8" t="s">
        <v>26</v>
      </c>
      <c r="J73" s="8" t="s">
        <v>219</v>
      </c>
      <c r="K73" s="10" t="s">
        <v>220</v>
      </c>
      <c r="L73" s="16" t="s">
        <v>29</v>
      </c>
      <c r="M73" s="16" t="s">
        <v>221</v>
      </c>
      <c r="N73" s="115">
        <v>46149</v>
      </c>
      <c r="O73" s="12"/>
      <c r="P73" s="24" t="s">
        <v>29</v>
      </c>
      <c r="Q73" s="46" t="s">
        <v>31</v>
      </c>
      <c r="R73" s="46" t="s">
        <v>30</v>
      </c>
      <c r="S73" s="46"/>
      <c r="T73" s="24" t="s">
        <v>31</v>
      </c>
      <c r="U73" s="24">
        <v>27956.23</v>
      </c>
    </row>
    <row r="74" spans="1:21" ht="15.75">
      <c r="A74" s="3" t="s">
        <v>277</v>
      </c>
      <c r="B74" s="15" t="s">
        <v>278</v>
      </c>
      <c r="C74" s="6" t="s">
        <v>279</v>
      </c>
      <c r="D74" s="7" t="s">
        <v>24</v>
      </c>
      <c r="E74" s="12" t="s">
        <v>123</v>
      </c>
      <c r="F74" s="12"/>
      <c r="G74" s="12"/>
      <c r="H74" s="14"/>
      <c r="I74" s="8"/>
      <c r="J74" s="8"/>
      <c r="K74" s="10"/>
      <c r="L74" s="11"/>
      <c r="M74" s="16" t="str">
        <f t="shared" si="3"/>
        <v/>
      </c>
      <c r="N74" s="115">
        <v>46026</v>
      </c>
      <c r="O74" s="12"/>
      <c r="P74" s="24" t="s">
        <v>29</v>
      </c>
      <c r="Q74" s="46" t="s">
        <v>31</v>
      </c>
      <c r="R74" s="46" t="s">
        <v>30</v>
      </c>
      <c r="S74" s="46"/>
      <c r="T74" s="24" t="s">
        <v>30</v>
      </c>
      <c r="U74" s="24"/>
    </row>
    <row r="75" spans="1:21" ht="15.75">
      <c r="A75" s="3" t="s">
        <v>280</v>
      </c>
      <c r="B75" s="15" t="s">
        <v>281</v>
      </c>
      <c r="C75" s="6" t="s">
        <v>282</v>
      </c>
      <c r="D75" s="7" t="s">
        <v>24</v>
      </c>
      <c r="E75" s="12" t="s">
        <v>123</v>
      </c>
      <c r="F75" s="12"/>
      <c r="G75" s="12"/>
      <c r="H75" s="14"/>
      <c r="I75" s="8"/>
      <c r="J75" s="8"/>
      <c r="K75" s="10"/>
      <c r="L75" s="11"/>
      <c r="M75" s="16" t="str">
        <f t="shared" si="3"/>
        <v/>
      </c>
      <c r="N75" s="115">
        <v>46062</v>
      </c>
      <c r="O75" s="12"/>
      <c r="P75" s="24" t="s">
        <v>29</v>
      </c>
      <c r="Q75" s="46" t="s">
        <v>31</v>
      </c>
      <c r="R75" s="46" t="s">
        <v>30</v>
      </c>
      <c r="S75" s="46"/>
      <c r="T75" s="24" t="s">
        <v>30</v>
      </c>
      <c r="U75" s="24"/>
    </row>
    <row r="76" spans="1:21" ht="15.75">
      <c r="A76" s="3" t="s">
        <v>283</v>
      </c>
      <c r="B76" s="15" t="s">
        <v>284</v>
      </c>
      <c r="C76" s="6" t="s">
        <v>285</v>
      </c>
      <c r="D76" s="7" t="s">
        <v>24</v>
      </c>
      <c r="E76" s="12" t="s">
        <v>123</v>
      </c>
      <c r="F76" s="12"/>
      <c r="G76" s="12"/>
      <c r="H76" s="14"/>
      <c r="I76" s="8"/>
      <c r="J76" s="8"/>
      <c r="K76" s="10"/>
      <c r="L76" s="11"/>
      <c r="M76" s="16"/>
      <c r="N76" s="115">
        <v>46029</v>
      </c>
      <c r="O76" s="12"/>
      <c r="P76" s="24" t="s">
        <v>29</v>
      </c>
      <c r="Q76" s="46" t="s">
        <v>31</v>
      </c>
      <c r="R76" s="46" t="s">
        <v>30</v>
      </c>
      <c r="S76" s="46"/>
      <c r="T76" s="24" t="s">
        <v>30</v>
      </c>
      <c r="U76" s="24"/>
    </row>
    <row r="77" spans="1:21" ht="15.75">
      <c r="A77" s="3" t="s">
        <v>286</v>
      </c>
      <c r="B77" s="15" t="s">
        <v>287</v>
      </c>
      <c r="C77" s="6" t="s">
        <v>288</v>
      </c>
      <c r="D77" s="7" t="s">
        <v>24</v>
      </c>
      <c r="E77" s="12" t="s">
        <v>123</v>
      </c>
      <c r="F77" s="12"/>
      <c r="G77" s="12"/>
      <c r="H77" s="14"/>
      <c r="I77" s="8"/>
      <c r="J77" s="8"/>
      <c r="K77" s="10"/>
      <c r="L77" s="11"/>
      <c r="M77" s="16"/>
      <c r="N77" s="115">
        <v>46082</v>
      </c>
      <c r="O77" s="12"/>
      <c r="P77" s="24" t="s">
        <v>29</v>
      </c>
      <c r="Q77" s="46" t="s">
        <v>31</v>
      </c>
      <c r="R77" s="46" t="s">
        <v>30</v>
      </c>
      <c r="S77" s="46"/>
      <c r="T77" s="24" t="s">
        <v>30</v>
      </c>
      <c r="U77" s="24"/>
    </row>
    <row r="78" spans="1:21" ht="15.75">
      <c r="A78" s="3" t="s">
        <v>289</v>
      </c>
      <c r="B78" s="15" t="s">
        <v>290</v>
      </c>
      <c r="C78" s="6" t="s">
        <v>291</v>
      </c>
      <c r="D78" s="7" t="s">
        <v>24</v>
      </c>
      <c r="E78" s="12" t="s">
        <v>25</v>
      </c>
      <c r="F78" s="12"/>
      <c r="G78" s="12" t="s">
        <v>26</v>
      </c>
      <c r="H78" s="13">
        <v>46112</v>
      </c>
      <c r="I78" s="8" t="s">
        <v>26</v>
      </c>
      <c r="J78" s="8" t="s">
        <v>27</v>
      </c>
      <c r="K78" s="10" t="s">
        <v>28</v>
      </c>
      <c r="L78" s="16">
        <v>46112</v>
      </c>
      <c r="M78" s="16">
        <v>46142</v>
      </c>
      <c r="N78" s="115">
        <v>46106</v>
      </c>
      <c r="O78" s="12"/>
      <c r="P78" s="24" t="s">
        <v>29</v>
      </c>
      <c r="Q78" s="46" t="s">
        <v>31</v>
      </c>
      <c r="R78" s="46" t="s">
        <v>30</v>
      </c>
      <c r="S78" s="46"/>
      <c r="T78" s="24" t="s">
        <v>30</v>
      </c>
      <c r="U78" s="24"/>
    </row>
    <row r="79" spans="1:21" ht="15.75">
      <c r="A79" s="3" t="s">
        <v>292</v>
      </c>
      <c r="B79" s="15" t="s">
        <v>293</v>
      </c>
      <c r="C79" s="6" t="s">
        <v>294</v>
      </c>
      <c r="D79" s="7" t="s">
        <v>24</v>
      </c>
      <c r="E79" s="12" t="s">
        <v>123</v>
      </c>
      <c r="F79" s="12"/>
      <c r="G79" s="12"/>
      <c r="H79" s="14"/>
      <c r="I79" s="8" t="s">
        <v>26</v>
      </c>
      <c r="J79" s="8" t="s">
        <v>219</v>
      </c>
      <c r="K79" s="10" t="s">
        <v>220</v>
      </c>
      <c r="L79" s="16" t="s">
        <v>29</v>
      </c>
      <c r="M79" s="16" t="s">
        <v>221</v>
      </c>
      <c r="N79" s="115">
        <v>45988</v>
      </c>
      <c r="O79" s="12"/>
      <c r="P79" s="24" t="s">
        <v>29</v>
      </c>
      <c r="Q79" s="46" t="s">
        <v>31</v>
      </c>
      <c r="R79" s="46" t="s">
        <v>30</v>
      </c>
      <c r="S79" s="46"/>
      <c r="T79" s="24" t="s">
        <v>30</v>
      </c>
      <c r="U79" s="24"/>
    </row>
    <row r="80" spans="1:21" ht="15.75">
      <c r="A80" s="3" t="s">
        <v>295</v>
      </c>
      <c r="B80" s="15" t="s">
        <v>296</v>
      </c>
      <c r="C80" s="6" t="s">
        <v>297</v>
      </c>
      <c r="D80" s="7" t="s">
        <v>24</v>
      </c>
      <c r="E80" s="12" t="s">
        <v>123</v>
      </c>
      <c r="F80" s="12"/>
      <c r="G80" s="12"/>
      <c r="H80" s="14"/>
      <c r="I80" s="8"/>
      <c r="J80" s="8"/>
      <c r="K80" s="10"/>
      <c r="L80" s="11"/>
      <c r="M80" s="16" t="str">
        <f>IF(L80="","",EDATE(L80,1))</f>
        <v/>
      </c>
      <c r="N80" s="115">
        <v>46027</v>
      </c>
      <c r="O80" s="12"/>
      <c r="P80" s="24" t="s">
        <v>29</v>
      </c>
      <c r="Q80" s="46" t="s">
        <v>31</v>
      </c>
      <c r="R80" s="46" t="s">
        <v>30</v>
      </c>
      <c r="S80" s="46"/>
      <c r="T80" s="24" t="s">
        <v>30</v>
      </c>
      <c r="U80" s="24"/>
    </row>
    <row r="81" spans="1:21" ht="15.75">
      <c r="A81" s="3" t="s">
        <v>298</v>
      </c>
      <c r="B81" s="15" t="s">
        <v>299</v>
      </c>
      <c r="C81" s="6" t="s">
        <v>300</v>
      </c>
      <c r="D81" s="7" t="s">
        <v>24</v>
      </c>
      <c r="E81" s="12" t="s">
        <v>123</v>
      </c>
      <c r="F81" s="12"/>
      <c r="G81" s="12"/>
      <c r="H81" s="14"/>
      <c r="I81" s="8" t="s">
        <v>26</v>
      </c>
      <c r="J81" s="8" t="s">
        <v>219</v>
      </c>
      <c r="K81" s="10" t="s">
        <v>220</v>
      </c>
      <c r="L81" s="16" t="s">
        <v>29</v>
      </c>
      <c r="M81" s="16" t="s">
        <v>221</v>
      </c>
      <c r="N81" s="115">
        <v>46011</v>
      </c>
      <c r="O81" s="12"/>
      <c r="P81" s="24" t="s">
        <v>29</v>
      </c>
      <c r="Q81" s="46" t="s">
        <v>31</v>
      </c>
      <c r="R81" s="46" t="s">
        <v>30</v>
      </c>
      <c r="S81" s="46"/>
      <c r="T81" s="24" t="s">
        <v>30</v>
      </c>
      <c r="U81" s="24"/>
    </row>
    <row r="82" spans="1:21" ht="15.75">
      <c r="A82" s="3" t="s">
        <v>301</v>
      </c>
      <c r="B82" s="15" t="s">
        <v>302</v>
      </c>
      <c r="C82" s="6" t="s">
        <v>303</v>
      </c>
      <c r="D82" s="7" t="s">
        <v>24</v>
      </c>
      <c r="E82" s="12" t="s">
        <v>123</v>
      </c>
      <c r="F82" s="12"/>
      <c r="G82" s="12"/>
      <c r="H82" s="14"/>
      <c r="I82" s="8"/>
      <c r="J82" s="8"/>
      <c r="K82" s="10"/>
      <c r="L82" s="11"/>
      <c r="M82" s="16" t="str">
        <f>IF(L82="","",EDATE(L82,1))</f>
        <v/>
      </c>
      <c r="N82" s="115">
        <v>46032</v>
      </c>
      <c r="O82" s="12"/>
      <c r="P82" s="24" t="s">
        <v>29</v>
      </c>
      <c r="Q82" s="46" t="s">
        <v>31</v>
      </c>
      <c r="R82" s="46" t="s">
        <v>30</v>
      </c>
      <c r="S82" s="46"/>
      <c r="T82" s="24" t="s">
        <v>30</v>
      </c>
      <c r="U82" s="24"/>
    </row>
    <row r="83" spans="1:21" ht="15.75">
      <c r="A83" s="3" t="s">
        <v>304</v>
      </c>
      <c r="B83" s="15" t="s">
        <v>305</v>
      </c>
      <c r="C83" s="6" t="s">
        <v>306</v>
      </c>
      <c r="D83" s="7" t="s">
        <v>24</v>
      </c>
      <c r="E83" s="12" t="s">
        <v>25</v>
      </c>
      <c r="F83" s="12"/>
      <c r="G83" s="12" t="s">
        <v>26</v>
      </c>
      <c r="H83" s="13">
        <v>46087</v>
      </c>
      <c r="I83" s="12" t="s">
        <v>26</v>
      </c>
      <c r="J83" s="8" t="s">
        <v>27</v>
      </c>
      <c r="K83" s="10" t="s">
        <v>28</v>
      </c>
      <c r="L83" s="16">
        <v>46087</v>
      </c>
      <c r="M83" s="16">
        <v>46117</v>
      </c>
      <c r="N83" s="115">
        <v>46085</v>
      </c>
      <c r="O83" s="12"/>
      <c r="P83" s="24" t="s">
        <v>29</v>
      </c>
      <c r="Q83" s="46" t="s">
        <v>31</v>
      </c>
      <c r="R83" s="46" t="s">
        <v>30</v>
      </c>
      <c r="S83" s="46"/>
      <c r="T83" s="24" t="s">
        <v>30</v>
      </c>
      <c r="U83" s="24"/>
    </row>
    <row r="84" spans="1:21" ht="15.75">
      <c r="A84" s="33" t="s">
        <v>307</v>
      </c>
      <c r="B84" s="34" t="s">
        <v>308</v>
      </c>
      <c r="C84" s="35" t="s">
        <v>309</v>
      </c>
      <c r="D84" s="36" t="s">
        <v>63</v>
      </c>
      <c r="E84" s="37" t="s">
        <v>25</v>
      </c>
      <c r="F84" s="37"/>
      <c r="G84" s="37" t="s">
        <v>26</v>
      </c>
      <c r="H84" s="38">
        <v>46087</v>
      </c>
      <c r="I84" s="37" t="s">
        <v>26</v>
      </c>
      <c r="J84" s="37" t="s">
        <v>27</v>
      </c>
      <c r="K84" s="39" t="s">
        <v>37</v>
      </c>
      <c r="L84" s="38">
        <v>46087</v>
      </c>
      <c r="M84" s="38" t="s">
        <v>47</v>
      </c>
      <c r="N84" s="117">
        <v>46129</v>
      </c>
      <c r="O84" s="37" t="s">
        <v>310</v>
      </c>
      <c r="P84" s="42" t="s">
        <v>29</v>
      </c>
      <c r="Q84" s="47" t="s">
        <v>31</v>
      </c>
      <c r="R84" s="47" t="s">
        <v>31</v>
      </c>
      <c r="S84" s="47">
        <v>44887.5</v>
      </c>
      <c r="T84" s="40" t="s">
        <v>31</v>
      </c>
      <c r="U84" s="40">
        <v>51442.77</v>
      </c>
    </row>
    <row r="85" spans="1:21" ht="15.75">
      <c r="A85" s="3" t="s">
        <v>311</v>
      </c>
      <c r="B85" s="15" t="s">
        <v>312</v>
      </c>
      <c r="C85" s="6" t="s">
        <v>313</v>
      </c>
      <c r="D85" s="7" t="s">
        <v>24</v>
      </c>
      <c r="E85" s="12" t="s">
        <v>123</v>
      </c>
      <c r="F85" s="12"/>
      <c r="G85" s="12"/>
      <c r="H85" s="14"/>
      <c r="I85" s="8"/>
      <c r="J85" s="8"/>
      <c r="K85" s="10"/>
      <c r="L85" s="11"/>
      <c r="M85" s="16"/>
      <c r="N85" s="115">
        <v>46063</v>
      </c>
      <c r="O85" s="12"/>
      <c r="P85" s="24" t="s">
        <v>2524</v>
      </c>
      <c r="Q85" s="46" t="s">
        <v>31</v>
      </c>
      <c r="R85" s="46" t="s">
        <v>30</v>
      </c>
      <c r="S85" s="46"/>
      <c r="T85" s="24" t="s">
        <v>30</v>
      </c>
      <c r="U85" s="24"/>
    </row>
    <row r="86" spans="1:21" ht="15.75">
      <c r="A86" s="3" t="s">
        <v>314</v>
      </c>
      <c r="B86" s="15" t="s">
        <v>315</v>
      </c>
      <c r="C86" s="6" t="s">
        <v>316</v>
      </c>
      <c r="D86" s="7" t="s">
        <v>24</v>
      </c>
      <c r="E86" s="12" t="s">
        <v>123</v>
      </c>
      <c r="F86" s="12"/>
      <c r="G86" s="12"/>
      <c r="H86" s="14"/>
      <c r="I86" s="8" t="s">
        <v>26</v>
      </c>
      <c r="J86" s="8" t="s">
        <v>219</v>
      </c>
      <c r="K86" s="10" t="s">
        <v>220</v>
      </c>
      <c r="L86" s="16" t="s">
        <v>29</v>
      </c>
      <c r="M86" s="16" t="s">
        <v>221</v>
      </c>
      <c r="N86" s="115">
        <v>45993</v>
      </c>
      <c r="O86" s="12"/>
      <c r="P86" s="24" t="s">
        <v>29</v>
      </c>
      <c r="Q86" s="46" t="s">
        <v>31</v>
      </c>
      <c r="R86" s="46" t="s">
        <v>30</v>
      </c>
      <c r="S86" s="46"/>
      <c r="T86" s="24" t="s">
        <v>30</v>
      </c>
      <c r="U86" s="24"/>
    </row>
    <row r="87" spans="1:21" ht="15.75">
      <c r="A87" s="3" t="s">
        <v>317</v>
      </c>
      <c r="B87" s="15" t="s">
        <v>318</v>
      </c>
      <c r="C87" s="6" t="s">
        <v>319</v>
      </c>
      <c r="D87" s="7" t="s">
        <v>24</v>
      </c>
      <c r="E87" s="12" t="s">
        <v>123</v>
      </c>
      <c r="F87" s="12"/>
      <c r="G87" s="12"/>
      <c r="H87" s="14"/>
      <c r="I87" s="8" t="s">
        <v>26</v>
      </c>
      <c r="J87" s="8" t="s">
        <v>219</v>
      </c>
      <c r="K87" s="10" t="s">
        <v>220</v>
      </c>
      <c r="L87" s="16" t="s">
        <v>29</v>
      </c>
      <c r="M87" s="16" t="s">
        <v>221</v>
      </c>
      <c r="N87" s="115">
        <v>45963</v>
      </c>
      <c r="O87" s="12"/>
      <c r="P87" s="24" t="s">
        <v>29</v>
      </c>
      <c r="Q87" s="46" t="s">
        <v>31</v>
      </c>
      <c r="R87" s="46" t="s">
        <v>30</v>
      </c>
      <c r="S87" s="46"/>
      <c r="T87" s="24" t="s">
        <v>30</v>
      </c>
      <c r="U87" s="24"/>
    </row>
    <row r="88" spans="1:21" ht="15.75">
      <c r="A88" s="3" t="s">
        <v>320</v>
      </c>
      <c r="B88" s="15" t="s">
        <v>321</v>
      </c>
      <c r="C88" s="6" t="s">
        <v>322</v>
      </c>
      <c r="D88" s="7" t="s">
        <v>2525</v>
      </c>
      <c r="E88" s="12" t="s">
        <v>123</v>
      </c>
      <c r="F88" s="12"/>
      <c r="G88" s="12"/>
      <c r="H88" s="14"/>
      <c r="I88" s="8"/>
      <c r="J88" s="8"/>
      <c r="K88" s="10"/>
      <c r="L88" s="11"/>
      <c r="M88" s="16"/>
      <c r="N88" s="115">
        <v>46043</v>
      </c>
      <c r="O88" s="12"/>
      <c r="P88" s="24" t="s">
        <v>2524</v>
      </c>
      <c r="Q88" s="46" t="s">
        <v>30</v>
      </c>
      <c r="R88" s="46" t="s">
        <v>30</v>
      </c>
      <c r="S88" s="46"/>
      <c r="T88" s="24" t="s">
        <v>30</v>
      </c>
      <c r="U88" s="24"/>
    </row>
    <row r="89" spans="1:21" ht="15.75">
      <c r="A89" s="3" t="s">
        <v>323</v>
      </c>
      <c r="B89" s="15" t="s">
        <v>324</v>
      </c>
      <c r="C89" s="6" t="s">
        <v>325</v>
      </c>
      <c r="D89" s="7" t="s">
        <v>2525</v>
      </c>
      <c r="E89" s="12" t="s">
        <v>123</v>
      </c>
      <c r="F89" s="12"/>
      <c r="G89" s="12"/>
      <c r="H89" s="14"/>
      <c r="I89" s="8"/>
      <c r="J89" s="8"/>
      <c r="K89" s="10"/>
      <c r="L89" s="11"/>
      <c r="M89" s="16" t="str">
        <f t="shared" ref="M89:M102" si="4">IF(L89="","",EDATE(L89,1))</f>
        <v/>
      </c>
      <c r="N89" s="115">
        <v>46062</v>
      </c>
      <c r="O89" s="12"/>
      <c r="P89" s="24" t="s">
        <v>2524</v>
      </c>
      <c r="Q89" s="46" t="s">
        <v>30</v>
      </c>
      <c r="R89" s="46" t="s">
        <v>30</v>
      </c>
      <c r="S89" s="46"/>
      <c r="T89" s="24" t="s">
        <v>30</v>
      </c>
      <c r="U89" s="24"/>
    </row>
    <row r="90" spans="1:21" ht="15.75">
      <c r="A90" s="3" t="s">
        <v>326</v>
      </c>
      <c r="B90" s="15" t="s">
        <v>327</v>
      </c>
      <c r="C90" s="6" t="s">
        <v>328</v>
      </c>
      <c r="D90" s="7" t="s">
        <v>42</v>
      </c>
      <c r="E90" s="12" t="s">
        <v>123</v>
      </c>
      <c r="F90" s="12"/>
      <c r="G90" s="12"/>
      <c r="H90" s="14"/>
      <c r="I90" s="8"/>
      <c r="J90" s="8"/>
      <c r="K90" s="10"/>
      <c r="L90" s="11"/>
      <c r="M90" s="16" t="str">
        <f t="shared" si="4"/>
        <v/>
      </c>
      <c r="N90" s="115">
        <v>46147</v>
      </c>
      <c r="O90" s="12"/>
      <c r="P90" s="24" t="s">
        <v>29</v>
      </c>
      <c r="Q90" s="46" t="s">
        <v>31</v>
      </c>
      <c r="R90" s="46" t="s">
        <v>30</v>
      </c>
      <c r="S90" s="46"/>
      <c r="T90" s="24" t="s">
        <v>31</v>
      </c>
      <c r="U90" s="24">
        <v>8944.9699999999993</v>
      </c>
    </row>
    <row r="91" spans="1:21" ht="15.75">
      <c r="A91" s="3" t="s">
        <v>329</v>
      </c>
      <c r="B91" s="15" t="s">
        <v>330</v>
      </c>
      <c r="C91" s="6" t="s">
        <v>331</v>
      </c>
      <c r="D91" s="7" t="s">
        <v>42</v>
      </c>
      <c r="E91" s="12" t="s">
        <v>123</v>
      </c>
      <c r="F91" s="12"/>
      <c r="G91" s="12"/>
      <c r="H91" s="14"/>
      <c r="I91" s="8" t="s">
        <v>26</v>
      </c>
      <c r="J91" s="8" t="s">
        <v>219</v>
      </c>
      <c r="K91" s="10" t="s">
        <v>220</v>
      </c>
      <c r="L91" s="16" t="s">
        <v>29</v>
      </c>
      <c r="M91" s="16" t="s">
        <v>221</v>
      </c>
      <c r="N91" s="115">
        <v>46007</v>
      </c>
      <c r="O91" s="12"/>
      <c r="P91" s="24" t="s">
        <v>29</v>
      </c>
      <c r="Q91" s="46" t="s">
        <v>31</v>
      </c>
      <c r="R91" s="46" t="s">
        <v>30</v>
      </c>
      <c r="S91" s="46"/>
      <c r="T91" s="24" t="s">
        <v>30</v>
      </c>
      <c r="U91" s="24"/>
    </row>
    <row r="92" spans="1:21" ht="15.75">
      <c r="A92" s="3" t="s">
        <v>332</v>
      </c>
      <c r="B92" s="15" t="s">
        <v>333</v>
      </c>
      <c r="C92" s="6" t="s">
        <v>334</v>
      </c>
      <c r="D92" s="7" t="s">
        <v>24</v>
      </c>
      <c r="E92" s="12" t="s">
        <v>123</v>
      </c>
      <c r="F92" s="12"/>
      <c r="G92" s="12"/>
      <c r="H92" s="14"/>
      <c r="I92" s="8" t="s">
        <v>26</v>
      </c>
      <c r="J92" s="8" t="s">
        <v>219</v>
      </c>
      <c r="K92" s="10" t="s">
        <v>220</v>
      </c>
      <c r="L92" s="16" t="s">
        <v>29</v>
      </c>
      <c r="M92" s="16" t="s">
        <v>221</v>
      </c>
      <c r="N92" s="115">
        <v>45979</v>
      </c>
      <c r="O92" s="12"/>
      <c r="P92" s="24" t="s">
        <v>29</v>
      </c>
      <c r="Q92" s="46" t="s">
        <v>31</v>
      </c>
      <c r="R92" s="46" t="s">
        <v>30</v>
      </c>
      <c r="S92" s="46"/>
      <c r="T92" s="24" t="s">
        <v>30</v>
      </c>
      <c r="U92" s="24"/>
    </row>
    <row r="93" spans="1:21" ht="15.75">
      <c r="A93" s="3" t="s">
        <v>335</v>
      </c>
      <c r="B93" s="15" t="s">
        <v>336</v>
      </c>
      <c r="C93" s="6" t="s">
        <v>337</v>
      </c>
      <c r="D93" s="7" t="s">
        <v>24</v>
      </c>
      <c r="E93" s="12" t="s">
        <v>123</v>
      </c>
      <c r="F93" s="12"/>
      <c r="G93" s="12"/>
      <c r="H93" s="14"/>
      <c r="I93" s="8" t="s">
        <v>26</v>
      </c>
      <c r="J93" s="8" t="s">
        <v>219</v>
      </c>
      <c r="K93" s="10" t="s">
        <v>220</v>
      </c>
      <c r="L93" s="16" t="s">
        <v>29</v>
      </c>
      <c r="M93" s="16" t="s">
        <v>221</v>
      </c>
      <c r="N93" s="115">
        <v>46007</v>
      </c>
      <c r="O93" s="12"/>
      <c r="P93" s="24" t="s">
        <v>29</v>
      </c>
      <c r="Q93" s="46" t="s">
        <v>31</v>
      </c>
      <c r="R93" s="46" t="s">
        <v>30</v>
      </c>
      <c r="S93" s="46"/>
      <c r="T93" s="24" t="s">
        <v>30</v>
      </c>
      <c r="U93" s="24"/>
    </row>
    <row r="94" spans="1:21" ht="15.75">
      <c r="A94" s="3" t="s">
        <v>338</v>
      </c>
      <c r="B94" s="15" t="s">
        <v>339</v>
      </c>
      <c r="C94" s="6" t="s">
        <v>340</v>
      </c>
      <c r="D94" s="7" t="s">
        <v>42</v>
      </c>
      <c r="E94" s="12" t="s">
        <v>123</v>
      </c>
      <c r="F94" s="12"/>
      <c r="G94" s="12"/>
      <c r="H94" s="14"/>
      <c r="I94" s="8" t="s">
        <v>26</v>
      </c>
      <c r="J94" s="8" t="s">
        <v>219</v>
      </c>
      <c r="K94" s="10" t="s">
        <v>220</v>
      </c>
      <c r="L94" s="16" t="s">
        <v>29</v>
      </c>
      <c r="M94" s="16" t="s">
        <v>221</v>
      </c>
      <c r="N94" s="115">
        <v>46007</v>
      </c>
      <c r="O94" s="12"/>
      <c r="P94" s="24" t="s">
        <v>29</v>
      </c>
      <c r="Q94" s="46" t="s">
        <v>31</v>
      </c>
      <c r="R94" s="46" t="s">
        <v>30</v>
      </c>
      <c r="S94" s="46"/>
      <c r="T94" s="24" t="s">
        <v>30</v>
      </c>
      <c r="U94" s="24"/>
    </row>
    <row r="95" spans="1:21" ht="15.75">
      <c r="A95" s="3" t="s">
        <v>341</v>
      </c>
      <c r="B95" s="15" t="s">
        <v>342</v>
      </c>
      <c r="C95" s="6" t="s">
        <v>343</v>
      </c>
      <c r="D95" s="7" t="s">
        <v>42</v>
      </c>
      <c r="E95" s="12" t="s">
        <v>123</v>
      </c>
      <c r="F95" s="12"/>
      <c r="G95" s="12"/>
      <c r="H95" s="14"/>
      <c r="I95" s="8"/>
      <c r="J95" s="8"/>
      <c r="K95" s="10"/>
      <c r="L95" s="11"/>
      <c r="M95" s="16" t="str">
        <f t="shared" si="4"/>
        <v/>
      </c>
      <c r="N95" s="115">
        <v>45977</v>
      </c>
      <c r="O95" s="12" t="s">
        <v>344</v>
      </c>
      <c r="P95" s="24" t="s">
        <v>29</v>
      </c>
      <c r="Q95" s="46" t="s">
        <v>31</v>
      </c>
      <c r="R95" s="46" t="s">
        <v>30</v>
      </c>
      <c r="S95" s="46"/>
      <c r="T95" s="24" t="s">
        <v>30</v>
      </c>
      <c r="U95" s="24"/>
    </row>
    <row r="96" spans="1:21" ht="15.75">
      <c r="A96" s="3" t="s">
        <v>345</v>
      </c>
      <c r="B96" s="15" t="s">
        <v>346</v>
      </c>
      <c r="C96" s="6" t="s">
        <v>347</v>
      </c>
      <c r="D96" s="7" t="s">
        <v>24</v>
      </c>
      <c r="E96" s="12" t="s">
        <v>123</v>
      </c>
      <c r="F96" s="12"/>
      <c r="G96" s="12"/>
      <c r="H96" s="14"/>
      <c r="I96" s="8" t="s">
        <v>26</v>
      </c>
      <c r="J96" s="8" t="s">
        <v>219</v>
      </c>
      <c r="K96" s="10" t="s">
        <v>220</v>
      </c>
      <c r="L96" s="16" t="s">
        <v>29</v>
      </c>
      <c r="M96" s="16" t="s">
        <v>221</v>
      </c>
      <c r="N96" s="115">
        <v>46079</v>
      </c>
      <c r="O96" s="12" t="s">
        <v>348</v>
      </c>
      <c r="P96" s="24" t="s">
        <v>29</v>
      </c>
      <c r="Q96" s="46" t="s">
        <v>31</v>
      </c>
      <c r="R96" s="46" t="s">
        <v>30</v>
      </c>
      <c r="S96" s="46"/>
      <c r="T96" s="24" t="s">
        <v>30</v>
      </c>
      <c r="U96" s="24"/>
    </row>
    <row r="97" spans="1:21" ht="15.75">
      <c r="A97" s="3" t="s">
        <v>349</v>
      </c>
      <c r="B97" s="15" t="s">
        <v>350</v>
      </c>
      <c r="C97" s="6" t="s">
        <v>351</v>
      </c>
      <c r="D97" s="7" t="s">
        <v>24</v>
      </c>
      <c r="E97" s="12" t="s">
        <v>123</v>
      </c>
      <c r="F97" s="12"/>
      <c r="G97" s="12"/>
      <c r="H97" s="14"/>
      <c r="I97" s="8"/>
      <c r="J97" s="8"/>
      <c r="K97" s="10"/>
      <c r="L97" s="11"/>
      <c r="M97" s="16" t="str">
        <f t="shared" si="4"/>
        <v/>
      </c>
      <c r="N97" s="115">
        <v>46038</v>
      </c>
      <c r="O97" s="12"/>
      <c r="P97" s="24" t="s">
        <v>29</v>
      </c>
      <c r="Q97" s="46" t="s">
        <v>31</v>
      </c>
      <c r="R97" s="46" t="s">
        <v>30</v>
      </c>
      <c r="S97" s="46"/>
      <c r="T97" s="24" t="s">
        <v>30</v>
      </c>
      <c r="U97" s="24"/>
    </row>
    <row r="98" spans="1:21" ht="15.75">
      <c r="A98" s="3" t="s">
        <v>352</v>
      </c>
      <c r="B98" s="15" t="s">
        <v>333</v>
      </c>
      <c r="C98" s="6" t="s">
        <v>353</v>
      </c>
      <c r="D98" s="7" t="s">
        <v>24</v>
      </c>
      <c r="E98" s="12" t="s">
        <v>123</v>
      </c>
      <c r="F98" s="12"/>
      <c r="G98" s="12"/>
      <c r="H98" s="14"/>
      <c r="I98" s="8" t="s">
        <v>26</v>
      </c>
      <c r="J98" s="8" t="s">
        <v>219</v>
      </c>
      <c r="K98" s="10" t="s">
        <v>220</v>
      </c>
      <c r="L98" s="16" t="s">
        <v>29</v>
      </c>
      <c r="M98" s="16" t="s">
        <v>221</v>
      </c>
      <c r="N98" s="115">
        <v>46013</v>
      </c>
      <c r="O98" s="12"/>
      <c r="P98" s="24" t="s">
        <v>29</v>
      </c>
      <c r="Q98" s="46" t="s">
        <v>31</v>
      </c>
      <c r="R98" s="46" t="s">
        <v>30</v>
      </c>
      <c r="S98" s="46"/>
      <c r="T98" s="24" t="s">
        <v>30</v>
      </c>
      <c r="U98" s="24"/>
    </row>
    <row r="99" spans="1:21" ht="15.75">
      <c r="A99" s="3" t="s">
        <v>354</v>
      </c>
      <c r="B99" s="15"/>
      <c r="C99" s="6" t="s">
        <v>355</v>
      </c>
      <c r="D99" s="7" t="s">
        <v>24</v>
      </c>
      <c r="E99" s="12" t="s">
        <v>25</v>
      </c>
      <c r="F99" s="12"/>
      <c r="G99" s="12"/>
      <c r="H99" s="14"/>
      <c r="I99" s="8"/>
      <c r="J99" s="8"/>
      <c r="K99" s="10"/>
      <c r="L99" s="11"/>
      <c r="M99" s="16" t="str">
        <f t="shared" si="4"/>
        <v/>
      </c>
      <c r="N99" s="115">
        <v>46142</v>
      </c>
      <c r="O99" s="12" t="s">
        <v>356</v>
      </c>
      <c r="P99" s="24" t="s">
        <v>29</v>
      </c>
      <c r="Q99" s="46" t="s">
        <v>30</v>
      </c>
      <c r="R99" s="46" t="s">
        <v>31</v>
      </c>
      <c r="S99" s="149">
        <v>47728.800000000003</v>
      </c>
      <c r="T99" s="24" t="s">
        <v>30</v>
      </c>
      <c r="U99" s="150"/>
    </row>
    <row r="100" spans="1:21" ht="15.75">
      <c r="A100" s="3" t="s">
        <v>357</v>
      </c>
      <c r="B100" s="15"/>
      <c r="C100" s="6" t="s">
        <v>358</v>
      </c>
      <c r="D100" s="7" t="s">
        <v>24</v>
      </c>
      <c r="E100" s="12" t="s">
        <v>25</v>
      </c>
      <c r="F100" s="12"/>
      <c r="G100" s="12"/>
      <c r="H100" s="14"/>
      <c r="I100" s="8"/>
      <c r="J100" s="8"/>
      <c r="K100" s="10"/>
      <c r="L100" s="11"/>
      <c r="M100" s="16" t="str">
        <f t="shared" si="4"/>
        <v/>
      </c>
      <c r="N100" s="115">
        <v>46148</v>
      </c>
      <c r="O100" s="12" t="s">
        <v>356</v>
      </c>
      <c r="P100" s="24" t="s">
        <v>29</v>
      </c>
      <c r="Q100" s="46" t="s">
        <v>30</v>
      </c>
      <c r="R100" s="46" t="s">
        <v>30</v>
      </c>
      <c r="S100" s="149"/>
      <c r="T100" s="24" t="s">
        <v>31</v>
      </c>
      <c r="U100" s="150">
        <v>8218.61</v>
      </c>
    </row>
    <row r="101" spans="1:21" ht="15.75">
      <c r="A101" s="3" t="s">
        <v>359</v>
      </c>
      <c r="B101" s="15"/>
      <c r="C101" s="6" t="s">
        <v>360</v>
      </c>
      <c r="D101" s="7" t="s">
        <v>24</v>
      </c>
      <c r="E101" s="12" t="s">
        <v>25</v>
      </c>
      <c r="F101" s="12"/>
      <c r="G101" s="12"/>
      <c r="H101" s="14"/>
      <c r="I101" s="8"/>
      <c r="J101" s="8"/>
      <c r="K101" s="10"/>
      <c r="L101" s="11"/>
      <c r="M101" s="16" t="str">
        <f t="shared" si="4"/>
        <v/>
      </c>
      <c r="N101" s="115">
        <v>46148</v>
      </c>
      <c r="O101" s="12" t="s">
        <v>356</v>
      </c>
      <c r="P101" s="24" t="s">
        <v>29</v>
      </c>
      <c r="Q101" s="46" t="s">
        <v>30</v>
      </c>
      <c r="R101" s="46" t="s">
        <v>30</v>
      </c>
      <c r="S101" s="149"/>
      <c r="T101" s="24" t="s">
        <v>31</v>
      </c>
      <c r="U101" s="150">
        <v>20443.3</v>
      </c>
    </row>
    <row r="102" spans="1:21" ht="15.75">
      <c r="A102" s="3" t="s">
        <v>361</v>
      </c>
      <c r="B102" s="15" t="s">
        <v>362</v>
      </c>
      <c r="C102" s="6" t="s">
        <v>363</v>
      </c>
      <c r="D102" s="7" t="s">
        <v>24</v>
      </c>
      <c r="E102" s="12" t="s">
        <v>25</v>
      </c>
      <c r="F102" s="12"/>
      <c r="G102" s="12"/>
      <c r="H102" s="14"/>
      <c r="I102" s="8"/>
      <c r="J102" s="8"/>
      <c r="K102" s="10"/>
      <c r="L102" s="11"/>
      <c r="M102" s="16" t="str">
        <f t="shared" si="4"/>
        <v/>
      </c>
      <c r="N102" s="115">
        <v>46139</v>
      </c>
      <c r="O102" s="12" t="s">
        <v>364</v>
      </c>
      <c r="P102" s="24" t="s">
        <v>29</v>
      </c>
      <c r="Q102" s="46" t="s">
        <v>30</v>
      </c>
      <c r="R102" s="46" t="s">
        <v>31</v>
      </c>
      <c r="S102" s="149">
        <v>2701.6</v>
      </c>
      <c r="T102" s="24" t="s">
        <v>30</v>
      </c>
      <c r="U102" s="150"/>
    </row>
    <row r="103" spans="1:21">
      <c r="A103" s="12" t="s">
        <v>365</v>
      </c>
      <c r="B103" s="20">
        <v>905547716583</v>
      </c>
      <c r="C103" s="12" t="s">
        <v>366</v>
      </c>
      <c r="D103" s="12" t="s">
        <v>24</v>
      </c>
      <c r="E103" s="12" t="s">
        <v>123</v>
      </c>
      <c r="F103" s="12"/>
      <c r="G103" s="12"/>
      <c r="H103" s="14"/>
      <c r="I103" s="12" t="s">
        <v>26</v>
      </c>
      <c r="J103" s="12" t="s">
        <v>219</v>
      </c>
      <c r="K103" s="12" t="s">
        <v>220</v>
      </c>
      <c r="L103" s="13" t="s">
        <v>29</v>
      </c>
      <c r="M103" s="151" t="s">
        <v>221</v>
      </c>
      <c r="N103" s="13">
        <v>46008</v>
      </c>
      <c r="O103" s="12"/>
      <c r="P103" s="24" t="s">
        <v>29</v>
      </c>
      <c r="Q103" s="46" t="s">
        <v>31</v>
      </c>
      <c r="R103" s="46" t="s">
        <v>30</v>
      </c>
      <c r="S103" s="46"/>
      <c r="T103" s="24" t="s">
        <v>30</v>
      </c>
      <c r="U103" s="24"/>
    </row>
    <row r="104" spans="1:21" ht="15.75">
      <c r="A104" s="3" t="s">
        <v>367</v>
      </c>
      <c r="B104" s="15" t="s">
        <v>368</v>
      </c>
      <c r="C104" s="6" t="s">
        <v>369</v>
      </c>
      <c r="D104" s="7" t="s">
        <v>370</v>
      </c>
      <c r="E104" s="12" t="s">
        <v>123</v>
      </c>
      <c r="F104" s="12"/>
      <c r="G104" s="12"/>
      <c r="H104" s="14"/>
      <c r="I104" s="8" t="s">
        <v>26</v>
      </c>
      <c r="J104" s="8" t="s">
        <v>219</v>
      </c>
      <c r="K104" s="10" t="s">
        <v>220</v>
      </c>
      <c r="L104" s="16" t="s">
        <v>29</v>
      </c>
      <c r="M104" s="16" t="s">
        <v>221</v>
      </c>
      <c r="N104" s="115">
        <v>46038</v>
      </c>
      <c r="O104" s="12" t="s">
        <v>371</v>
      </c>
      <c r="P104" s="24" t="s">
        <v>29</v>
      </c>
      <c r="Q104" s="46" t="s">
        <v>30</v>
      </c>
      <c r="R104" s="46" t="s">
        <v>30</v>
      </c>
      <c r="S104" s="46"/>
      <c r="T104" s="24" t="s">
        <v>30</v>
      </c>
      <c r="U104" s="24"/>
    </row>
    <row r="105" spans="1:21">
      <c r="A105" s="8" t="s">
        <v>372</v>
      </c>
      <c r="B105" s="21">
        <v>905546719966</v>
      </c>
      <c r="C105" s="8" t="s">
        <v>373</v>
      </c>
      <c r="D105" s="8" t="s">
        <v>42</v>
      </c>
      <c r="E105" s="8" t="s">
        <v>25</v>
      </c>
      <c r="F105" s="8"/>
      <c r="G105" s="8"/>
      <c r="H105" s="18"/>
      <c r="I105" s="8" t="s">
        <v>26</v>
      </c>
      <c r="J105" s="8" t="s">
        <v>219</v>
      </c>
      <c r="K105" s="8" t="s">
        <v>220</v>
      </c>
      <c r="L105" s="9" t="s">
        <v>29</v>
      </c>
      <c r="M105" s="9" t="s">
        <v>221</v>
      </c>
      <c r="N105" s="9">
        <v>46146</v>
      </c>
      <c r="O105" s="8"/>
      <c r="P105" s="24" t="s">
        <v>29</v>
      </c>
      <c r="Q105" s="46" t="s">
        <v>31</v>
      </c>
      <c r="R105" s="46" t="s">
        <v>30</v>
      </c>
      <c r="S105" s="46"/>
      <c r="T105" s="24" t="s">
        <v>31</v>
      </c>
      <c r="U105" s="150">
        <v>20042.400000000001</v>
      </c>
    </row>
    <row r="106" spans="1:21">
      <c r="A106" s="12"/>
      <c r="B106" s="12"/>
      <c r="C106" s="12"/>
      <c r="D106" s="12"/>
      <c r="E106" s="12"/>
      <c r="F106" s="12"/>
      <c r="G106" s="12"/>
      <c r="H106" s="14"/>
      <c r="I106" s="12"/>
      <c r="J106" s="12"/>
      <c r="K106" s="12"/>
      <c r="L106" s="14"/>
      <c r="M106" s="13" t="str">
        <f t="shared" ref="M106" si="5">IF(L106="","",EDATE(L106,1))</f>
        <v/>
      </c>
      <c r="N106" s="14"/>
      <c r="O106" s="12"/>
      <c r="P106" s="24"/>
      <c r="Q106" s="46"/>
      <c r="R106" s="46"/>
      <c r="S106" s="46"/>
      <c r="T106" s="24"/>
      <c r="U106" s="24"/>
    </row>
    <row r="107" spans="1:21">
      <c r="A107" s="8"/>
      <c r="B107" s="8"/>
      <c r="C107" s="8"/>
      <c r="D107" s="8"/>
      <c r="E107" s="8"/>
      <c r="F107" s="8"/>
      <c r="G107" s="8"/>
      <c r="H107" s="18"/>
      <c r="I107" s="8"/>
      <c r="J107" s="8"/>
      <c r="K107" s="8"/>
      <c r="L107" s="18"/>
      <c r="M107" s="9" t="str">
        <f t="shared" ref="M107:M138" si="6">IF(L107="","",EDATE(L107,1))</f>
        <v/>
      </c>
      <c r="N107" s="18"/>
      <c r="O107" s="8"/>
      <c r="P107" s="24"/>
      <c r="Q107" s="46"/>
      <c r="R107" s="46"/>
      <c r="S107" s="46"/>
      <c r="T107" s="24"/>
      <c r="U107" s="24"/>
    </row>
    <row r="108" spans="1:21">
      <c r="A108" s="12"/>
      <c r="B108" s="12"/>
      <c r="C108" s="12"/>
      <c r="D108" s="12"/>
      <c r="E108" s="12"/>
      <c r="F108" s="12"/>
      <c r="G108" s="12"/>
      <c r="H108" s="14"/>
      <c r="I108" s="12"/>
      <c r="J108" s="12"/>
      <c r="K108" s="12"/>
      <c r="L108" s="14"/>
      <c r="M108" s="13" t="str">
        <f t="shared" si="6"/>
        <v/>
      </c>
      <c r="N108" s="14"/>
      <c r="O108" s="12"/>
      <c r="P108" s="24"/>
      <c r="Q108" s="46"/>
      <c r="R108" s="46"/>
      <c r="S108" s="46"/>
      <c r="T108" s="24"/>
      <c r="U108" s="24"/>
    </row>
    <row r="109" spans="1:21">
      <c r="A109" s="8"/>
      <c r="B109" s="8"/>
      <c r="C109" s="8"/>
      <c r="D109" s="8"/>
      <c r="E109" s="8"/>
      <c r="F109" s="8"/>
      <c r="G109" s="8"/>
      <c r="H109" s="18"/>
      <c r="I109" s="8"/>
      <c r="J109" s="8"/>
      <c r="K109" s="8"/>
      <c r="L109" s="18"/>
      <c r="M109" s="9" t="str">
        <f t="shared" si="6"/>
        <v/>
      </c>
      <c r="N109" s="18"/>
      <c r="O109" s="8"/>
      <c r="P109" s="24"/>
      <c r="Q109" s="46"/>
      <c r="R109" s="46"/>
      <c r="S109" s="46"/>
      <c r="T109" s="24"/>
      <c r="U109" s="24"/>
    </row>
    <row r="110" spans="1:21">
      <c r="A110" s="12"/>
      <c r="B110" s="12"/>
      <c r="C110" s="12"/>
      <c r="D110" s="12"/>
      <c r="E110" s="12"/>
      <c r="F110" s="12"/>
      <c r="G110" s="12"/>
      <c r="H110" s="14"/>
      <c r="I110" s="12"/>
      <c r="J110" s="12"/>
      <c r="K110" s="12"/>
      <c r="L110" s="14"/>
      <c r="M110" s="13" t="str">
        <f t="shared" si="6"/>
        <v/>
      </c>
      <c r="N110" s="14"/>
      <c r="O110" s="12"/>
      <c r="P110" s="24"/>
      <c r="Q110" s="46"/>
      <c r="R110" s="46"/>
      <c r="S110" s="46"/>
      <c r="T110" s="24"/>
      <c r="U110" s="24"/>
    </row>
    <row r="111" spans="1:21">
      <c r="A111" s="8"/>
      <c r="B111" s="8"/>
      <c r="C111" s="8"/>
      <c r="D111" s="8"/>
      <c r="E111" s="8"/>
      <c r="F111" s="8"/>
      <c r="G111" s="8"/>
      <c r="H111" s="18"/>
      <c r="I111" s="8"/>
      <c r="J111" s="8"/>
      <c r="K111" s="8"/>
      <c r="L111" s="18"/>
      <c r="M111" s="9" t="str">
        <f t="shared" si="6"/>
        <v/>
      </c>
      <c r="N111" s="18"/>
      <c r="O111" s="8"/>
      <c r="P111" s="24"/>
      <c r="Q111" s="46"/>
      <c r="R111" s="46"/>
      <c r="S111" s="46"/>
      <c r="T111" s="24"/>
      <c r="U111" s="24"/>
    </row>
    <row r="112" spans="1:21">
      <c r="A112" s="12"/>
      <c r="B112" s="12"/>
      <c r="C112" s="12"/>
      <c r="D112" s="12"/>
      <c r="E112" s="12"/>
      <c r="F112" s="12"/>
      <c r="G112" s="12"/>
      <c r="H112" s="14"/>
      <c r="I112" s="12"/>
      <c r="J112" s="12"/>
      <c r="K112" s="12"/>
      <c r="L112" s="14"/>
      <c r="M112" s="13" t="str">
        <f t="shared" si="6"/>
        <v/>
      </c>
      <c r="N112" s="14"/>
      <c r="O112" s="12"/>
      <c r="P112" s="24"/>
      <c r="Q112" s="46"/>
      <c r="R112" s="46"/>
      <c r="S112" s="46"/>
      <c r="T112" s="24"/>
      <c r="U112" s="24"/>
    </row>
    <row r="113" spans="1:21">
      <c r="A113" s="8"/>
      <c r="B113" s="8"/>
      <c r="C113" s="8"/>
      <c r="D113" s="8"/>
      <c r="E113" s="8"/>
      <c r="F113" s="8"/>
      <c r="G113" s="8"/>
      <c r="H113" s="18"/>
      <c r="I113" s="8"/>
      <c r="J113" s="8"/>
      <c r="K113" s="8"/>
      <c r="L113" s="18"/>
      <c r="M113" s="9" t="str">
        <f t="shared" si="6"/>
        <v/>
      </c>
      <c r="N113" s="18"/>
      <c r="O113" s="8"/>
      <c r="P113" s="24"/>
      <c r="Q113" s="46"/>
      <c r="R113" s="46"/>
      <c r="S113" s="46"/>
      <c r="T113" s="24"/>
      <c r="U113" s="24"/>
    </row>
    <row r="114" spans="1:21">
      <c r="A114" s="12"/>
      <c r="B114" s="12"/>
      <c r="C114" s="12"/>
      <c r="D114" s="12"/>
      <c r="E114" s="12"/>
      <c r="F114" s="12"/>
      <c r="G114" s="12"/>
      <c r="H114" s="14"/>
      <c r="I114" s="12"/>
      <c r="J114" s="12"/>
      <c r="K114" s="12"/>
      <c r="L114" s="14"/>
      <c r="M114" s="13" t="str">
        <f t="shared" si="6"/>
        <v/>
      </c>
      <c r="N114" s="14"/>
      <c r="O114" s="12"/>
      <c r="P114" s="24"/>
      <c r="Q114" s="46"/>
      <c r="R114" s="46"/>
      <c r="S114" s="46"/>
      <c r="T114" s="24"/>
      <c r="U114" s="24"/>
    </row>
    <row r="115" spans="1:21">
      <c r="A115" s="8"/>
      <c r="B115" s="8"/>
      <c r="C115" s="8"/>
      <c r="D115" s="8"/>
      <c r="E115" s="8"/>
      <c r="F115" s="8"/>
      <c r="G115" s="8"/>
      <c r="H115" s="18"/>
      <c r="I115" s="8"/>
      <c r="J115" s="8"/>
      <c r="K115" s="8"/>
      <c r="L115" s="18"/>
      <c r="M115" s="9" t="str">
        <f t="shared" si="6"/>
        <v/>
      </c>
      <c r="N115" s="18"/>
      <c r="O115" s="8"/>
      <c r="P115" s="24"/>
      <c r="Q115" s="46"/>
      <c r="R115" s="46"/>
      <c r="S115" s="46"/>
      <c r="T115" s="24"/>
      <c r="U115" s="24"/>
    </row>
    <row r="116" spans="1:21">
      <c r="A116" s="12"/>
      <c r="B116" s="12"/>
      <c r="C116" s="12"/>
      <c r="D116" s="12"/>
      <c r="E116" s="12"/>
      <c r="F116" s="12"/>
      <c r="G116" s="12"/>
      <c r="H116" s="14"/>
      <c r="I116" s="12"/>
      <c r="J116" s="12"/>
      <c r="K116" s="12"/>
      <c r="L116" s="14"/>
      <c r="M116" s="13" t="str">
        <f t="shared" si="6"/>
        <v/>
      </c>
      <c r="N116" s="14"/>
      <c r="O116" s="12"/>
      <c r="P116" s="24"/>
      <c r="Q116" s="46"/>
      <c r="R116" s="46"/>
      <c r="S116" s="46"/>
      <c r="T116" s="24"/>
      <c r="U116" s="24"/>
    </row>
    <row r="117" spans="1:21">
      <c r="A117" s="8"/>
      <c r="B117" s="8"/>
      <c r="C117" s="8"/>
      <c r="D117" s="8"/>
      <c r="E117" s="8"/>
      <c r="F117" s="8"/>
      <c r="G117" s="8"/>
      <c r="H117" s="18"/>
      <c r="I117" s="8"/>
      <c r="J117" s="8"/>
      <c r="K117" s="8"/>
      <c r="L117" s="18"/>
      <c r="M117" s="9" t="str">
        <f t="shared" si="6"/>
        <v/>
      </c>
      <c r="N117" s="18"/>
      <c r="O117" s="8"/>
      <c r="P117" s="24"/>
      <c r="Q117" s="46"/>
      <c r="R117" s="46"/>
      <c r="S117" s="46"/>
      <c r="T117" s="24"/>
      <c r="U117" s="24"/>
    </row>
    <row r="118" spans="1:21">
      <c r="A118" s="12"/>
      <c r="B118" s="12"/>
      <c r="C118" s="12"/>
      <c r="D118" s="12"/>
      <c r="E118" s="12"/>
      <c r="F118" s="12"/>
      <c r="G118" s="12"/>
      <c r="H118" s="14"/>
      <c r="I118" s="12"/>
      <c r="J118" s="12"/>
      <c r="K118" s="12"/>
      <c r="L118" s="14"/>
      <c r="M118" s="13" t="str">
        <f t="shared" si="6"/>
        <v/>
      </c>
      <c r="N118" s="14"/>
      <c r="O118" s="12"/>
      <c r="P118" s="24"/>
      <c r="Q118" s="46"/>
      <c r="R118" s="46"/>
      <c r="S118" s="46"/>
      <c r="T118" s="24"/>
      <c r="U118" s="24"/>
    </row>
    <row r="119" spans="1:21">
      <c r="A119" s="8"/>
      <c r="B119" s="8"/>
      <c r="C119" s="8"/>
      <c r="D119" s="8"/>
      <c r="E119" s="8"/>
      <c r="F119" s="8"/>
      <c r="G119" s="8"/>
      <c r="H119" s="18"/>
      <c r="I119" s="8"/>
      <c r="J119" s="8"/>
      <c r="K119" s="8"/>
      <c r="L119" s="18"/>
      <c r="M119" s="9" t="str">
        <f t="shared" si="6"/>
        <v/>
      </c>
      <c r="N119" s="18"/>
      <c r="O119" s="8"/>
      <c r="P119" s="24"/>
      <c r="Q119" s="46"/>
      <c r="R119" s="46"/>
      <c r="S119" s="46"/>
      <c r="T119" s="24"/>
      <c r="U119" s="24"/>
    </row>
    <row r="120" spans="1:21">
      <c r="A120" s="12"/>
      <c r="B120" s="12"/>
      <c r="C120" s="12"/>
      <c r="D120" s="12"/>
      <c r="E120" s="12"/>
      <c r="F120" s="12"/>
      <c r="G120" s="12"/>
      <c r="H120" s="14"/>
      <c r="I120" s="12"/>
      <c r="J120" s="12"/>
      <c r="K120" s="12"/>
      <c r="L120" s="14"/>
      <c r="M120" s="13" t="str">
        <f t="shared" si="6"/>
        <v/>
      </c>
      <c r="N120" s="14"/>
      <c r="O120" s="12"/>
      <c r="P120" s="24"/>
      <c r="Q120" s="46"/>
      <c r="R120" s="46"/>
      <c r="S120" s="46"/>
      <c r="T120" s="24"/>
      <c r="U120" s="24"/>
    </row>
    <row r="121" spans="1:21">
      <c r="A121" s="8"/>
      <c r="B121" s="8"/>
      <c r="C121" s="8"/>
      <c r="D121" s="8"/>
      <c r="E121" s="8"/>
      <c r="F121" s="8"/>
      <c r="G121" s="8"/>
      <c r="H121" s="18"/>
      <c r="I121" s="8"/>
      <c r="J121" s="8"/>
      <c r="K121" s="8"/>
      <c r="L121" s="18"/>
      <c r="M121" s="9" t="str">
        <f t="shared" si="6"/>
        <v/>
      </c>
      <c r="N121" s="18"/>
      <c r="O121" s="8"/>
      <c r="P121" s="24"/>
      <c r="Q121" s="46"/>
      <c r="R121" s="46"/>
      <c r="S121" s="46"/>
      <c r="T121" s="24"/>
      <c r="U121" s="24"/>
    </row>
    <row r="122" spans="1:21">
      <c r="A122" s="12"/>
      <c r="B122" s="12"/>
      <c r="C122" s="12"/>
      <c r="D122" s="12"/>
      <c r="E122" s="12"/>
      <c r="F122" s="12"/>
      <c r="G122" s="12"/>
      <c r="H122" s="14"/>
      <c r="I122" s="12"/>
      <c r="J122" s="12"/>
      <c r="K122" s="12"/>
      <c r="L122" s="14"/>
      <c r="M122" s="13" t="str">
        <f t="shared" si="6"/>
        <v/>
      </c>
      <c r="N122" s="14"/>
      <c r="O122" s="12"/>
      <c r="P122" s="24"/>
      <c r="Q122" s="46"/>
      <c r="R122" s="46"/>
      <c r="S122" s="46"/>
      <c r="T122" s="24"/>
      <c r="U122" s="24"/>
    </row>
    <row r="123" spans="1:21">
      <c r="A123" s="8"/>
      <c r="B123" s="8"/>
      <c r="C123" s="8"/>
      <c r="D123" s="8"/>
      <c r="E123" s="8"/>
      <c r="F123" s="8"/>
      <c r="G123" s="8"/>
      <c r="H123" s="18"/>
      <c r="I123" s="8"/>
      <c r="J123" s="8"/>
      <c r="K123" s="8"/>
      <c r="L123" s="18"/>
      <c r="M123" s="9" t="str">
        <f t="shared" si="6"/>
        <v/>
      </c>
      <c r="N123" s="18"/>
      <c r="O123" s="8"/>
      <c r="P123" s="24"/>
      <c r="Q123" s="46"/>
      <c r="R123" s="46"/>
      <c r="S123" s="46"/>
      <c r="T123" s="24"/>
      <c r="U123" s="24"/>
    </row>
    <row r="124" spans="1:21">
      <c r="A124" s="12"/>
      <c r="B124" s="12"/>
      <c r="C124" s="12"/>
      <c r="D124" s="12"/>
      <c r="E124" s="12"/>
      <c r="F124" s="12"/>
      <c r="G124" s="12"/>
      <c r="H124" s="14"/>
      <c r="I124" s="12"/>
      <c r="J124" s="12"/>
      <c r="K124" s="12"/>
      <c r="L124" s="14"/>
      <c r="M124" s="13" t="str">
        <f t="shared" si="6"/>
        <v/>
      </c>
      <c r="N124" s="14"/>
      <c r="O124" s="12"/>
      <c r="P124" s="24"/>
      <c r="Q124" s="46"/>
      <c r="R124" s="46"/>
      <c r="S124" s="46"/>
      <c r="T124" s="24"/>
      <c r="U124" s="24"/>
    </row>
    <row r="125" spans="1:21">
      <c r="A125" s="8"/>
      <c r="B125" s="8"/>
      <c r="C125" s="8"/>
      <c r="D125" s="8"/>
      <c r="E125" s="8"/>
      <c r="F125" s="8"/>
      <c r="G125" s="8"/>
      <c r="H125" s="18"/>
      <c r="I125" s="8"/>
      <c r="J125" s="8"/>
      <c r="K125" s="8"/>
      <c r="L125" s="18"/>
      <c r="M125" s="9" t="str">
        <f t="shared" si="6"/>
        <v/>
      </c>
      <c r="N125" s="18"/>
      <c r="O125" s="8"/>
      <c r="P125" s="24"/>
      <c r="Q125" s="46"/>
      <c r="R125" s="46"/>
      <c r="S125" s="46"/>
      <c r="T125" s="24"/>
      <c r="U125" s="24"/>
    </row>
    <row r="126" spans="1:21">
      <c r="A126" s="12"/>
      <c r="B126" s="12"/>
      <c r="C126" s="12"/>
      <c r="D126" s="12"/>
      <c r="E126" s="12"/>
      <c r="F126" s="12"/>
      <c r="G126" s="12"/>
      <c r="H126" s="14"/>
      <c r="I126" s="12"/>
      <c r="J126" s="12"/>
      <c r="K126" s="12"/>
      <c r="L126" s="14"/>
      <c r="M126" s="13" t="str">
        <f t="shared" si="6"/>
        <v/>
      </c>
      <c r="N126" s="14"/>
      <c r="O126" s="12"/>
      <c r="P126" s="24"/>
      <c r="Q126" s="46"/>
      <c r="R126" s="46"/>
      <c r="S126" s="46"/>
      <c r="T126" s="24"/>
      <c r="U126" s="24"/>
    </row>
    <row r="127" spans="1:21">
      <c r="A127" s="8"/>
      <c r="B127" s="8"/>
      <c r="C127" s="8"/>
      <c r="D127" s="8"/>
      <c r="E127" s="8"/>
      <c r="F127" s="8"/>
      <c r="G127" s="8"/>
      <c r="H127" s="18"/>
      <c r="I127" s="8"/>
      <c r="J127" s="8"/>
      <c r="K127" s="8"/>
      <c r="L127" s="18"/>
      <c r="M127" s="9" t="str">
        <f t="shared" si="6"/>
        <v/>
      </c>
      <c r="N127" s="18"/>
      <c r="O127" s="8"/>
      <c r="P127" s="24"/>
      <c r="Q127" s="46"/>
      <c r="R127" s="46"/>
      <c r="S127" s="46"/>
      <c r="T127" s="24"/>
      <c r="U127" s="24"/>
    </row>
    <row r="128" spans="1:21">
      <c r="A128" s="12"/>
      <c r="B128" s="12"/>
      <c r="C128" s="12"/>
      <c r="D128" s="12"/>
      <c r="E128" s="12"/>
      <c r="F128" s="12"/>
      <c r="G128" s="12"/>
      <c r="H128" s="14"/>
      <c r="I128" s="12"/>
      <c r="J128" s="12"/>
      <c r="K128" s="12"/>
      <c r="L128" s="14"/>
      <c r="M128" s="13" t="str">
        <f t="shared" si="6"/>
        <v/>
      </c>
      <c r="N128" s="14"/>
      <c r="O128" s="12"/>
      <c r="P128" s="24"/>
      <c r="Q128" s="46"/>
      <c r="R128" s="46"/>
      <c r="S128" s="46"/>
      <c r="T128" s="24"/>
      <c r="U128" s="24"/>
    </row>
    <row r="129" spans="1:21">
      <c r="A129" s="8"/>
      <c r="B129" s="8"/>
      <c r="C129" s="8"/>
      <c r="D129" s="8"/>
      <c r="E129" s="8"/>
      <c r="F129" s="8"/>
      <c r="G129" s="8"/>
      <c r="H129" s="18"/>
      <c r="I129" s="8"/>
      <c r="J129" s="8"/>
      <c r="K129" s="8"/>
      <c r="L129" s="18"/>
      <c r="M129" s="9" t="str">
        <f t="shared" si="6"/>
        <v/>
      </c>
      <c r="N129" s="18"/>
      <c r="O129" s="8"/>
      <c r="P129" s="24"/>
      <c r="Q129" s="46"/>
      <c r="R129" s="46"/>
      <c r="S129" s="46"/>
      <c r="T129" s="24"/>
      <c r="U129" s="24"/>
    </row>
    <row r="130" spans="1:21">
      <c r="A130" s="12"/>
      <c r="B130" s="12"/>
      <c r="C130" s="12"/>
      <c r="D130" s="12"/>
      <c r="E130" s="12"/>
      <c r="F130" s="12"/>
      <c r="G130" s="12"/>
      <c r="H130" s="14"/>
      <c r="I130" s="12"/>
      <c r="J130" s="12"/>
      <c r="K130" s="12"/>
      <c r="L130" s="14"/>
      <c r="M130" s="13" t="str">
        <f t="shared" si="6"/>
        <v/>
      </c>
      <c r="N130" s="14"/>
      <c r="O130" s="12"/>
      <c r="P130" s="24"/>
      <c r="Q130" s="46"/>
      <c r="R130" s="46"/>
      <c r="S130" s="46"/>
      <c r="T130" s="24"/>
      <c r="U130" s="24"/>
    </row>
    <row r="131" spans="1:21">
      <c r="A131" s="8"/>
      <c r="B131" s="8"/>
      <c r="C131" s="8"/>
      <c r="D131" s="8"/>
      <c r="E131" s="8"/>
      <c r="F131" s="8"/>
      <c r="G131" s="8"/>
      <c r="H131" s="18"/>
      <c r="I131" s="8"/>
      <c r="J131" s="8"/>
      <c r="K131" s="8"/>
      <c r="L131" s="18"/>
      <c r="M131" s="9" t="str">
        <f t="shared" si="6"/>
        <v/>
      </c>
      <c r="N131" s="18"/>
      <c r="O131" s="8"/>
      <c r="P131" s="24"/>
      <c r="Q131" s="46"/>
      <c r="R131" s="46"/>
      <c r="S131" s="46"/>
      <c r="T131" s="24"/>
      <c r="U131" s="24"/>
    </row>
    <row r="132" spans="1:21">
      <c r="A132" s="12"/>
      <c r="B132" s="12"/>
      <c r="C132" s="12"/>
      <c r="D132" s="12"/>
      <c r="E132" s="12"/>
      <c r="F132" s="12"/>
      <c r="G132" s="12"/>
      <c r="H132" s="14"/>
      <c r="I132" s="12"/>
      <c r="J132" s="12"/>
      <c r="K132" s="12"/>
      <c r="L132" s="14"/>
      <c r="M132" s="13" t="str">
        <f t="shared" si="6"/>
        <v/>
      </c>
      <c r="N132" s="14"/>
      <c r="O132" s="12"/>
      <c r="P132" s="24"/>
      <c r="Q132" s="46"/>
      <c r="R132" s="46"/>
      <c r="S132" s="46"/>
      <c r="T132" s="24"/>
      <c r="U132" s="24"/>
    </row>
    <row r="133" spans="1:21">
      <c r="A133" s="8"/>
      <c r="B133" s="8"/>
      <c r="C133" s="8"/>
      <c r="D133" s="8"/>
      <c r="E133" s="8"/>
      <c r="F133" s="8"/>
      <c r="G133" s="8"/>
      <c r="H133" s="18"/>
      <c r="I133" s="8"/>
      <c r="J133" s="8"/>
      <c r="K133" s="8"/>
      <c r="L133" s="18"/>
      <c r="M133" s="9" t="str">
        <f t="shared" si="6"/>
        <v/>
      </c>
      <c r="N133" s="18"/>
      <c r="O133" s="8"/>
      <c r="P133" s="24"/>
      <c r="Q133" s="46"/>
      <c r="R133" s="46"/>
      <c r="S133" s="46"/>
      <c r="T133" s="24"/>
      <c r="U133" s="24"/>
    </row>
    <row r="134" spans="1:21">
      <c r="A134" s="12"/>
      <c r="B134" s="12"/>
      <c r="C134" s="12"/>
      <c r="D134" s="12"/>
      <c r="E134" s="12"/>
      <c r="F134" s="12"/>
      <c r="G134" s="12"/>
      <c r="H134" s="14"/>
      <c r="I134" s="12"/>
      <c r="J134" s="12"/>
      <c r="K134" s="12"/>
      <c r="L134" s="14"/>
      <c r="M134" s="13" t="str">
        <f t="shared" si="6"/>
        <v/>
      </c>
      <c r="N134" s="14"/>
      <c r="O134" s="12"/>
      <c r="P134" s="24"/>
      <c r="Q134" s="46"/>
      <c r="R134" s="46"/>
      <c r="S134" s="46"/>
      <c r="T134" s="24"/>
      <c r="U134" s="24"/>
    </row>
    <row r="135" spans="1:21">
      <c r="A135" s="8"/>
      <c r="B135" s="8"/>
      <c r="C135" s="8"/>
      <c r="D135" s="8"/>
      <c r="E135" s="8"/>
      <c r="F135" s="8"/>
      <c r="G135" s="8"/>
      <c r="H135" s="18"/>
      <c r="I135" s="8"/>
      <c r="J135" s="8"/>
      <c r="K135" s="8"/>
      <c r="L135" s="18"/>
      <c r="M135" s="9" t="str">
        <f t="shared" si="6"/>
        <v/>
      </c>
      <c r="N135" s="18"/>
      <c r="O135" s="8"/>
      <c r="P135" s="24"/>
      <c r="Q135" s="46"/>
      <c r="R135" s="46"/>
      <c r="S135" s="46"/>
      <c r="T135" s="24"/>
      <c r="U135" s="24"/>
    </row>
    <row r="136" spans="1:21">
      <c r="A136" s="12"/>
      <c r="B136" s="12"/>
      <c r="C136" s="12"/>
      <c r="D136" s="12"/>
      <c r="E136" s="12"/>
      <c r="F136" s="12"/>
      <c r="G136" s="12"/>
      <c r="H136" s="14"/>
      <c r="I136" s="12"/>
      <c r="J136" s="12"/>
      <c r="K136" s="12"/>
      <c r="L136" s="14"/>
      <c r="M136" s="13" t="str">
        <f t="shared" si="6"/>
        <v/>
      </c>
      <c r="N136" s="14"/>
      <c r="O136" s="12"/>
      <c r="P136" s="24"/>
      <c r="Q136" s="46"/>
      <c r="R136" s="46"/>
      <c r="S136" s="46"/>
      <c r="T136" s="24"/>
      <c r="U136" s="24"/>
    </row>
    <row r="137" spans="1:21">
      <c r="A137" s="8"/>
      <c r="B137" s="8"/>
      <c r="C137" s="8"/>
      <c r="D137" s="8"/>
      <c r="E137" s="8"/>
      <c r="F137" s="8"/>
      <c r="G137" s="8"/>
      <c r="H137" s="18"/>
      <c r="I137" s="8"/>
      <c r="J137" s="8"/>
      <c r="K137" s="8"/>
      <c r="L137" s="18"/>
      <c r="M137" s="9" t="str">
        <f t="shared" si="6"/>
        <v/>
      </c>
      <c r="N137" s="18"/>
      <c r="O137" s="8"/>
      <c r="P137" s="24"/>
      <c r="Q137" s="46"/>
      <c r="R137" s="46"/>
      <c r="S137" s="46"/>
      <c r="T137" s="24"/>
      <c r="U137" s="24"/>
    </row>
    <row r="138" spans="1:21">
      <c r="A138" s="12"/>
      <c r="B138" s="12"/>
      <c r="C138" s="12"/>
      <c r="D138" s="12"/>
      <c r="E138" s="12"/>
      <c r="F138" s="12"/>
      <c r="G138" s="12"/>
      <c r="H138" s="14"/>
      <c r="I138" s="12"/>
      <c r="J138" s="12"/>
      <c r="K138" s="12"/>
      <c r="L138" s="14"/>
      <c r="M138" s="13" t="str">
        <f t="shared" si="6"/>
        <v/>
      </c>
      <c r="N138" s="14"/>
      <c r="O138" s="12"/>
      <c r="P138" s="24"/>
      <c r="Q138" s="46"/>
      <c r="R138" s="46"/>
      <c r="S138" s="46"/>
      <c r="T138" s="24"/>
      <c r="U138" s="24"/>
    </row>
    <row r="139" spans="1:21">
      <c r="A139" s="8"/>
      <c r="B139" s="8"/>
      <c r="C139" s="8"/>
      <c r="D139" s="8"/>
      <c r="E139" s="8"/>
      <c r="F139" s="8"/>
      <c r="G139" s="8"/>
      <c r="H139" s="18"/>
      <c r="I139" s="8"/>
      <c r="J139" s="8"/>
      <c r="K139" s="8"/>
      <c r="L139" s="18"/>
      <c r="M139" s="9" t="str">
        <f t="shared" ref="M139:M170" si="7">IF(L139="","",EDATE(L139,1))</f>
        <v/>
      </c>
      <c r="N139" s="18"/>
      <c r="O139" s="8"/>
      <c r="P139" s="24"/>
      <c r="Q139" s="46"/>
      <c r="R139" s="46"/>
      <c r="S139" s="46"/>
      <c r="T139" s="24"/>
      <c r="U139" s="24"/>
    </row>
    <row r="140" spans="1:21">
      <c r="A140" s="12"/>
      <c r="B140" s="12"/>
      <c r="C140" s="12"/>
      <c r="D140" s="12"/>
      <c r="E140" s="12"/>
      <c r="F140" s="12"/>
      <c r="G140" s="12"/>
      <c r="H140" s="14"/>
      <c r="I140" s="12"/>
      <c r="J140" s="12"/>
      <c r="K140" s="12"/>
      <c r="L140" s="14"/>
      <c r="M140" s="13" t="str">
        <f t="shared" si="7"/>
        <v/>
      </c>
      <c r="N140" s="14"/>
      <c r="O140" s="12"/>
      <c r="P140" s="24"/>
      <c r="Q140" s="46"/>
      <c r="R140" s="46"/>
      <c r="S140" s="46"/>
      <c r="T140" s="24"/>
      <c r="U140" s="24"/>
    </row>
    <row r="141" spans="1:21">
      <c r="A141" s="8"/>
      <c r="B141" s="8"/>
      <c r="C141" s="8"/>
      <c r="D141" s="8"/>
      <c r="E141" s="8"/>
      <c r="F141" s="8"/>
      <c r="G141" s="8"/>
      <c r="H141" s="18"/>
      <c r="I141" s="8"/>
      <c r="J141" s="8"/>
      <c r="K141" s="8"/>
      <c r="L141" s="18"/>
      <c r="M141" s="9" t="str">
        <f t="shared" si="7"/>
        <v/>
      </c>
      <c r="N141" s="18"/>
      <c r="O141" s="8"/>
      <c r="P141" s="24"/>
      <c r="Q141" s="46"/>
      <c r="R141" s="46"/>
      <c r="S141" s="46"/>
      <c r="T141" s="24"/>
      <c r="U141" s="24"/>
    </row>
    <row r="142" spans="1:21">
      <c r="A142" s="12"/>
      <c r="B142" s="12"/>
      <c r="C142" s="12"/>
      <c r="D142" s="12"/>
      <c r="E142" s="12"/>
      <c r="F142" s="12"/>
      <c r="G142" s="12"/>
      <c r="H142" s="14"/>
      <c r="I142" s="12"/>
      <c r="J142" s="12"/>
      <c r="K142" s="12"/>
      <c r="L142" s="14"/>
      <c r="M142" s="13" t="str">
        <f t="shared" si="7"/>
        <v/>
      </c>
      <c r="N142" s="14"/>
      <c r="O142" s="12"/>
      <c r="P142" s="24"/>
      <c r="Q142" s="46"/>
      <c r="R142" s="46"/>
      <c r="S142" s="46"/>
      <c r="T142" s="24"/>
      <c r="U142" s="24"/>
    </row>
    <row r="143" spans="1:21">
      <c r="A143" s="8"/>
      <c r="B143" s="8"/>
      <c r="C143" s="8"/>
      <c r="D143" s="8"/>
      <c r="E143" s="8"/>
      <c r="F143" s="8"/>
      <c r="G143" s="8"/>
      <c r="H143" s="18"/>
      <c r="I143" s="8"/>
      <c r="J143" s="8"/>
      <c r="K143" s="8"/>
      <c r="L143" s="18"/>
      <c r="M143" s="9" t="str">
        <f t="shared" si="7"/>
        <v/>
      </c>
      <c r="N143" s="18"/>
      <c r="O143" s="8"/>
      <c r="P143" s="24"/>
      <c r="Q143" s="46"/>
      <c r="R143" s="46"/>
      <c r="S143" s="46"/>
      <c r="T143" s="24"/>
      <c r="U143" s="24"/>
    </row>
    <row r="144" spans="1:21">
      <c r="A144" s="12"/>
      <c r="B144" s="12"/>
      <c r="C144" s="12"/>
      <c r="D144" s="12"/>
      <c r="E144" s="12"/>
      <c r="F144" s="12"/>
      <c r="G144" s="12"/>
      <c r="H144" s="14"/>
      <c r="I144" s="12"/>
      <c r="J144" s="12"/>
      <c r="K144" s="12"/>
      <c r="L144" s="14"/>
      <c r="M144" s="13" t="str">
        <f t="shared" si="7"/>
        <v/>
      </c>
      <c r="N144" s="14"/>
      <c r="O144" s="12"/>
      <c r="P144" s="24"/>
      <c r="Q144" s="46"/>
      <c r="R144" s="46"/>
      <c r="S144" s="46"/>
      <c r="T144" s="24"/>
      <c r="U144" s="24"/>
    </row>
    <row r="145" spans="1:21">
      <c r="A145" s="8"/>
      <c r="B145" s="8"/>
      <c r="C145" s="8"/>
      <c r="D145" s="8"/>
      <c r="E145" s="8"/>
      <c r="F145" s="8"/>
      <c r="G145" s="8"/>
      <c r="H145" s="18"/>
      <c r="I145" s="8"/>
      <c r="J145" s="8"/>
      <c r="K145" s="8"/>
      <c r="L145" s="18"/>
      <c r="M145" s="9" t="str">
        <f t="shared" si="7"/>
        <v/>
      </c>
      <c r="N145" s="18"/>
      <c r="O145" s="8"/>
      <c r="P145" s="24"/>
      <c r="Q145" s="46"/>
      <c r="R145" s="46"/>
      <c r="S145" s="46"/>
      <c r="T145" s="24"/>
      <c r="U145" s="24"/>
    </row>
    <row r="146" spans="1:21">
      <c r="A146" s="12"/>
      <c r="B146" s="12"/>
      <c r="C146" s="12"/>
      <c r="D146" s="12"/>
      <c r="E146" s="12"/>
      <c r="F146" s="12"/>
      <c r="G146" s="12"/>
      <c r="H146" s="14"/>
      <c r="I146" s="12"/>
      <c r="J146" s="12"/>
      <c r="K146" s="12"/>
      <c r="L146" s="14"/>
      <c r="M146" s="13" t="str">
        <f t="shared" si="7"/>
        <v/>
      </c>
      <c r="N146" s="14"/>
      <c r="O146" s="12"/>
      <c r="P146" s="24"/>
      <c r="Q146" s="46"/>
      <c r="R146" s="46"/>
      <c r="S146" s="46"/>
      <c r="T146" s="24"/>
      <c r="U146" s="24"/>
    </row>
    <row r="147" spans="1:21">
      <c r="A147" s="8"/>
      <c r="B147" s="8"/>
      <c r="C147" s="8"/>
      <c r="D147" s="8"/>
      <c r="E147" s="8"/>
      <c r="F147" s="8"/>
      <c r="G147" s="8"/>
      <c r="H147" s="18"/>
      <c r="I147" s="8"/>
      <c r="J147" s="8"/>
      <c r="K147" s="8"/>
      <c r="L147" s="18"/>
      <c r="M147" s="9" t="str">
        <f t="shared" si="7"/>
        <v/>
      </c>
      <c r="N147" s="18"/>
      <c r="O147" s="8"/>
      <c r="P147" s="24"/>
      <c r="Q147" s="46"/>
      <c r="R147" s="46"/>
      <c r="S147" s="46"/>
      <c r="T147" s="24"/>
      <c r="U147" s="24"/>
    </row>
    <row r="148" spans="1:21">
      <c r="A148" s="12"/>
      <c r="B148" s="12"/>
      <c r="C148" s="12"/>
      <c r="D148" s="12"/>
      <c r="E148" s="12"/>
      <c r="F148" s="12"/>
      <c r="G148" s="12"/>
      <c r="H148" s="14"/>
      <c r="I148" s="12"/>
      <c r="J148" s="12"/>
      <c r="K148" s="12"/>
      <c r="L148" s="14"/>
      <c r="M148" s="13" t="str">
        <f t="shared" si="7"/>
        <v/>
      </c>
      <c r="N148" s="14"/>
      <c r="O148" s="12"/>
      <c r="P148" s="24"/>
      <c r="Q148" s="46"/>
      <c r="R148" s="46"/>
      <c r="S148" s="46"/>
      <c r="T148" s="24"/>
      <c r="U148" s="24"/>
    </row>
    <row r="149" spans="1:21">
      <c r="A149" s="8"/>
      <c r="B149" s="8"/>
      <c r="C149" s="8"/>
      <c r="D149" s="8"/>
      <c r="E149" s="8"/>
      <c r="F149" s="8"/>
      <c r="G149" s="8"/>
      <c r="H149" s="18"/>
      <c r="I149" s="8"/>
      <c r="J149" s="8"/>
      <c r="K149" s="8"/>
      <c r="L149" s="18"/>
      <c r="M149" s="9" t="str">
        <f t="shared" si="7"/>
        <v/>
      </c>
      <c r="N149" s="18"/>
      <c r="O149" s="8"/>
      <c r="P149" s="24"/>
      <c r="Q149" s="46"/>
      <c r="R149" s="46"/>
      <c r="S149" s="46"/>
      <c r="T149" s="24"/>
      <c r="U149" s="24"/>
    </row>
    <row r="150" spans="1:21">
      <c r="A150" s="12"/>
      <c r="B150" s="12"/>
      <c r="C150" s="12"/>
      <c r="D150" s="12"/>
      <c r="E150" s="12"/>
      <c r="F150" s="12"/>
      <c r="G150" s="12"/>
      <c r="H150" s="14"/>
      <c r="I150" s="12"/>
      <c r="J150" s="12"/>
      <c r="K150" s="12"/>
      <c r="L150" s="14"/>
      <c r="M150" s="13" t="str">
        <f t="shared" si="7"/>
        <v/>
      </c>
      <c r="N150" s="14"/>
      <c r="O150" s="12"/>
      <c r="P150" s="24"/>
      <c r="Q150" s="46"/>
      <c r="R150" s="46"/>
      <c r="S150" s="46"/>
      <c r="T150" s="24"/>
      <c r="U150" s="24"/>
    </row>
    <row r="151" spans="1:21">
      <c r="A151" s="8"/>
      <c r="B151" s="8"/>
      <c r="C151" s="8"/>
      <c r="D151" s="8"/>
      <c r="E151" s="8"/>
      <c r="F151" s="8"/>
      <c r="G151" s="8"/>
      <c r="H151" s="18"/>
      <c r="I151" s="8"/>
      <c r="J151" s="8"/>
      <c r="K151" s="8"/>
      <c r="L151" s="18"/>
      <c r="M151" s="9" t="str">
        <f t="shared" si="7"/>
        <v/>
      </c>
      <c r="N151" s="18"/>
      <c r="O151" s="8"/>
      <c r="P151" s="24"/>
      <c r="Q151" s="46"/>
      <c r="R151" s="46"/>
      <c r="S151" s="46"/>
      <c r="T151" s="24"/>
      <c r="U151" s="24"/>
    </row>
    <row r="152" spans="1:21">
      <c r="A152" s="12"/>
      <c r="B152" s="12"/>
      <c r="C152" s="12"/>
      <c r="D152" s="12"/>
      <c r="E152" s="12"/>
      <c r="F152" s="12"/>
      <c r="G152" s="12"/>
      <c r="H152" s="14"/>
      <c r="I152" s="12"/>
      <c r="J152" s="12"/>
      <c r="K152" s="12"/>
      <c r="L152" s="14"/>
      <c r="M152" s="13" t="str">
        <f t="shared" si="7"/>
        <v/>
      </c>
      <c r="N152" s="14"/>
      <c r="O152" s="12"/>
      <c r="P152" s="24"/>
      <c r="Q152" s="46"/>
      <c r="R152" s="46"/>
      <c r="S152" s="46"/>
      <c r="T152" s="24"/>
      <c r="U152" s="24"/>
    </row>
    <row r="153" spans="1:21">
      <c r="A153" s="8"/>
      <c r="B153" s="8"/>
      <c r="C153" s="8"/>
      <c r="D153" s="8"/>
      <c r="E153" s="8"/>
      <c r="F153" s="8"/>
      <c r="G153" s="8"/>
      <c r="H153" s="18"/>
      <c r="I153" s="8"/>
      <c r="J153" s="8"/>
      <c r="K153" s="8"/>
      <c r="L153" s="18"/>
      <c r="M153" s="9" t="str">
        <f t="shared" si="7"/>
        <v/>
      </c>
      <c r="N153" s="18"/>
      <c r="O153" s="8"/>
      <c r="P153" s="24"/>
      <c r="Q153" s="46"/>
      <c r="R153" s="46"/>
      <c r="S153" s="46"/>
      <c r="T153" s="24"/>
      <c r="U153" s="24"/>
    </row>
    <row r="154" spans="1:21">
      <c r="A154" s="12"/>
      <c r="B154" s="12"/>
      <c r="C154" s="12"/>
      <c r="D154" s="12"/>
      <c r="E154" s="12"/>
      <c r="F154" s="12"/>
      <c r="G154" s="12"/>
      <c r="H154" s="14"/>
      <c r="I154" s="12"/>
      <c r="J154" s="12"/>
      <c r="K154" s="12"/>
      <c r="L154" s="14"/>
      <c r="M154" s="13" t="str">
        <f t="shared" si="7"/>
        <v/>
      </c>
      <c r="N154" s="14"/>
      <c r="O154" s="12"/>
      <c r="P154" s="24"/>
      <c r="Q154" s="46"/>
      <c r="R154" s="46"/>
      <c r="S154" s="46"/>
      <c r="T154" s="24"/>
      <c r="U154" s="24"/>
    </row>
    <row r="155" spans="1:21">
      <c r="A155" s="8"/>
      <c r="B155" s="8"/>
      <c r="C155" s="8"/>
      <c r="D155" s="8"/>
      <c r="E155" s="8"/>
      <c r="F155" s="8"/>
      <c r="G155" s="8"/>
      <c r="H155" s="18"/>
      <c r="I155" s="8"/>
      <c r="J155" s="8"/>
      <c r="K155" s="8"/>
      <c r="L155" s="18"/>
      <c r="M155" s="9" t="str">
        <f t="shared" si="7"/>
        <v/>
      </c>
      <c r="N155" s="18"/>
      <c r="O155" s="8"/>
      <c r="P155" s="24"/>
      <c r="Q155" s="46"/>
      <c r="R155" s="46"/>
      <c r="S155" s="46"/>
      <c r="T155" s="24"/>
      <c r="U155" s="24"/>
    </row>
    <row r="156" spans="1:21">
      <c r="A156" s="12"/>
      <c r="B156" s="12"/>
      <c r="C156" s="12"/>
      <c r="D156" s="12"/>
      <c r="E156" s="12"/>
      <c r="F156" s="12"/>
      <c r="G156" s="12"/>
      <c r="H156" s="14"/>
      <c r="I156" s="12"/>
      <c r="J156" s="12"/>
      <c r="K156" s="12"/>
      <c r="L156" s="14"/>
      <c r="M156" s="13" t="str">
        <f t="shared" si="7"/>
        <v/>
      </c>
      <c r="N156" s="14"/>
      <c r="O156" s="12"/>
      <c r="P156" s="24"/>
      <c r="Q156" s="46"/>
      <c r="R156" s="46"/>
      <c r="S156" s="46"/>
      <c r="T156" s="24"/>
      <c r="U156" s="24"/>
    </row>
    <row r="157" spans="1:21">
      <c r="A157" s="8"/>
      <c r="B157" s="8"/>
      <c r="C157" s="8"/>
      <c r="D157" s="8"/>
      <c r="E157" s="8"/>
      <c r="F157" s="8"/>
      <c r="G157" s="8"/>
      <c r="H157" s="18"/>
      <c r="I157" s="8"/>
      <c r="J157" s="8"/>
      <c r="K157" s="8"/>
      <c r="L157" s="18"/>
      <c r="M157" s="9" t="str">
        <f t="shared" si="7"/>
        <v/>
      </c>
      <c r="N157" s="18"/>
      <c r="O157" s="8"/>
      <c r="P157" s="24"/>
      <c r="Q157" s="46"/>
      <c r="R157" s="46"/>
      <c r="S157" s="46"/>
      <c r="T157" s="24"/>
      <c r="U157" s="24"/>
    </row>
    <row r="158" spans="1:21">
      <c r="A158" s="12"/>
      <c r="B158" s="12"/>
      <c r="C158" s="12"/>
      <c r="D158" s="12"/>
      <c r="E158" s="12"/>
      <c r="F158" s="12"/>
      <c r="G158" s="12"/>
      <c r="H158" s="14"/>
      <c r="I158" s="12"/>
      <c r="J158" s="12"/>
      <c r="K158" s="12"/>
      <c r="L158" s="14"/>
      <c r="M158" s="13" t="str">
        <f t="shared" si="7"/>
        <v/>
      </c>
      <c r="N158" s="14"/>
      <c r="O158" s="12"/>
      <c r="P158" s="24"/>
      <c r="Q158" s="46"/>
      <c r="R158" s="46"/>
      <c r="S158" s="46"/>
      <c r="T158" s="24"/>
      <c r="U158" s="24"/>
    </row>
    <row r="159" spans="1:21">
      <c r="A159" s="8"/>
      <c r="B159" s="8"/>
      <c r="C159" s="8"/>
      <c r="D159" s="8"/>
      <c r="E159" s="8"/>
      <c r="F159" s="8"/>
      <c r="G159" s="8"/>
      <c r="H159" s="18"/>
      <c r="I159" s="8"/>
      <c r="J159" s="8"/>
      <c r="K159" s="8"/>
      <c r="L159" s="18"/>
      <c r="M159" s="9" t="str">
        <f t="shared" si="7"/>
        <v/>
      </c>
      <c r="N159" s="18"/>
      <c r="O159" s="8"/>
      <c r="P159" s="24"/>
      <c r="Q159" s="46"/>
      <c r="R159" s="46"/>
      <c r="S159" s="46"/>
      <c r="T159" s="24"/>
      <c r="U159" s="24"/>
    </row>
    <row r="160" spans="1:21">
      <c r="A160" s="12"/>
      <c r="B160" s="12"/>
      <c r="C160" s="12"/>
      <c r="D160" s="12"/>
      <c r="E160" s="12"/>
      <c r="F160" s="12"/>
      <c r="G160" s="12"/>
      <c r="H160" s="14"/>
      <c r="I160" s="12"/>
      <c r="J160" s="12"/>
      <c r="K160" s="12"/>
      <c r="L160" s="14"/>
      <c r="M160" s="13" t="str">
        <f t="shared" si="7"/>
        <v/>
      </c>
      <c r="N160" s="14"/>
      <c r="O160" s="12"/>
      <c r="P160" s="24"/>
      <c r="Q160" s="46"/>
      <c r="R160" s="46"/>
      <c r="S160" s="46"/>
      <c r="T160" s="24"/>
      <c r="U160" s="24"/>
    </row>
    <row r="161" spans="1:21">
      <c r="A161" s="8"/>
      <c r="B161" s="8"/>
      <c r="C161" s="8"/>
      <c r="D161" s="8"/>
      <c r="E161" s="8"/>
      <c r="F161" s="8"/>
      <c r="G161" s="8"/>
      <c r="H161" s="18"/>
      <c r="I161" s="8"/>
      <c r="J161" s="8"/>
      <c r="K161" s="8"/>
      <c r="L161" s="18"/>
      <c r="M161" s="9" t="str">
        <f t="shared" si="7"/>
        <v/>
      </c>
      <c r="N161" s="18"/>
      <c r="O161" s="8"/>
      <c r="P161" s="24"/>
      <c r="Q161" s="46"/>
      <c r="R161" s="46"/>
      <c r="S161" s="46"/>
      <c r="T161" s="24"/>
      <c r="U161" s="24"/>
    </row>
    <row r="162" spans="1:21">
      <c r="A162" s="12"/>
      <c r="B162" s="12"/>
      <c r="C162" s="12"/>
      <c r="D162" s="12"/>
      <c r="E162" s="12"/>
      <c r="F162" s="12"/>
      <c r="G162" s="12"/>
      <c r="H162" s="14"/>
      <c r="I162" s="12"/>
      <c r="J162" s="12"/>
      <c r="K162" s="12"/>
      <c r="L162" s="14"/>
      <c r="M162" s="13" t="str">
        <f t="shared" si="7"/>
        <v/>
      </c>
      <c r="N162" s="14"/>
      <c r="O162" s="12"/>
      <c r="P162" s="24"/>
      <c r="Q162" s="46"/>
      <c r="R162" s="46"/>
      <c r="S162" s="46"/>
      <c r="T162" s="24"/>
      <c r="U162" s="24"/>
    </row>
    <row r="163" spans="1:21">
      <c r="A163" s="8"/>
      <c r="B163" s="8"/>
      <c r="C163" s="8"/>
      <c r="D163" s="8"/>
      <c r="E163" s="8"/>
      <c r="F163" s="8"/>
      <c r="G163" s="8"/>
      <c r="H163" s="18"/>
      <c r="I163" s="8"/>
      <c r="J163" s="8"/>
      <c r="K163" s="8"/>
      <c r="L163" s="18"/>
      <c r="M163" s="9" t="str">
        <f t="shared" si="7"/>
        <v/>
      </c>
      <c r="N163" s="18"/>
      <c r="O163" s="8"/>
      <c r="P163" s="24"/>
      <c r="Q163" s="46"/>
      <c r="R163" s="46"/>
      <c r="S163" s="46"/>
      <c r="T163" s="24"/>
      <c r="U163" s="24"/>
    </row>
    <row r="164" spans="1:21">
      <c r="A164" s="12"/>
      <c r="B164" s="12"/>
      <c r="C164" s="12"/>
      <c r="D164" s="12"/>
      <c r="E164" s="12"/>
      <c r="F164" s="12"/>
      <c r="G164" s="12"/>
      <c r="H164" s="14"/>
      <c r="I164" s="12"/>
      <c r="J164" s="12"/>
      <c r="K164" s="12"/>
      <c r="L164" s="14"/>
      <c r="M164" s="13" t="str">
        <f t="shared" si="7"/>
        <v/>
      </c>
      <c r="N164" s="14"/>
      <c r="O164" s="12"/>
      <c r="P164" s="24"/>
      <c r="Q164" s="46"/>
      <c r="R164" s="46"/>
      <c r="S164" s="46"/>
      <c r="T164" s="24"/>
      <c r="U164" s="24"/>
    </row>
    <row r="165" spans="1:21">
      <c r="A165" s="8"/>
      <c r="B165" s="8"/>
      <c r="C165" s="8"/>
      <c r="D165" s="8"/>
      <c r="E165" s="8"/>
      <c r="F165" s="8"/>
      <c r="G165" s="8"/>
      <c r="H165" s="18"/>
      <c r="I165" s="8"/>
      <c r="J165" s="8"/>
      <c r="K165" s="8"/>
      <c r="L165" s="18"/>
      <c r="M165" s="9" t="str">
        <f t="shared" si="7"/>
        <v/>
      </c>
      <c r="N165" s="18"/>
      <c r="O165" s="8"/>
      <c r="P165" s="24"/>
      <c r="Q165" s="46"/>
      <c r="R165" s="46"/>
      <c r="S165" s="46"/>
      <c r="T165" s="24"/>
      <c r="U165" s="24"/>
    </row>
    <row r="166" spans="1:21">
      <c r="A166" s="12"/>
      <c r="B166" s="12"/>
      <c r="C166" s="12"/>
      <c r="D166" s="12"/>
      <c r="E166" s="12"/>
      <c r="F166" s="12"/>
      <c r="G166" s="12"/>
      <c r="H166" s="14"/>
      <c r="I166" s="12"/>
      <c r="J166" s="12"/>
      <c r="K166" s="12"/>
      <c r="L166" s="14"/>
      <c r="M166" s="13" t="str">
        <f t="shared" si="7"/>
        <v/>
      </c>
      <c r="N166" s="14"/>
      <c r="O166" s="12"/>
      <c r="P166" s="24"/>
      <c r="Q166" s="46"/>
      <c r="R166" s="46"/>
      <c r="S166" s="46"/>
      <c r="T166" s="24"/>
      <c r="U166" s="24"/>
    </row>
    <row r="167" spans="1:21">
      <c r="A167" s="8"/>
      <c r="B167" s="8"/>
      <c r="C167" s="8"/>
      <c r="D167" s="8"/>
      <c r="E167" s="8"/>
      <c r="F167" s="8"/>
      <c r="G167" s="8"/>
      <c r="H167" s="18"/>
      <c r="I167" s="8"/>
      <c r="J167" s="8"/>
      <c r="K167" s="8"/>
      <c r="L167" s="18"/>
      <c r="M167" s="9" t="str">
        <f t="shared" si="7"/>
        <v/>
      </c>
      <c r="N167" s="18"/>
      <c r="O167" s="8"/>
      <c r="P167" s="24"/>
      <c r="Q167" s="46"/>
      <c r="R167" s="46"/>
      <c r="S167" s="46"/>
      <c r="T167" s="24"/>
      <c r="U167" s="24"/>
    </row>
    <row r="168" spans="1:21">
      <c r="A168" s="12"/>
      <c r="B168" s="12"/>
      <c r="C168" s="12"/>
      <c r="D168" s="12"/>
      <c r="E168" s="12"/>
      <c r="F168" s="12"/>
      <c r="G168" s="12"/>
      <c r="H168" s="14"/>
      <c r="I168" s="12"/>
      <c r="J168" s="12"/>
      <c r="K168" s="12"/>
      <c r="L168" s="14"/>
      <c r="M168" s="13" t="str">
        <f t="shared" si="7"/>
        <v/>
      </c>
      <c r="N168" s="14"/>
      <c r="O168" s="12"/>
      <c r="P168" s="24"/>
      <c r="Q168" s="46"/>
      <c r="R168" s="46"/>
      <c r="S168" s="46"/>
      <c r="T168" s="24"/>
      <c r="U168" s="24"/>
    </row>
    <row r="169" spans="1:21">
      <c r="A169" s="8"/>
      <c r="B169" s="8"/>
      <c r="C169" s="8"/>
      <c r="D169" s="8"/>
      <c r="E169" s="8"/>
      <c r="F169" s="8"/>
      <c r="G169" s="8"/>
      <c r="H169" s="18"/>
      <c r="I169" s="8"/>
      <c r="J169" s="8"/>
      <c r="K169" s="8"/>
      <c r="L169" s="18"/>
      <c r="M169" s="9" t="str">
        <f t="shared" si="7"/>
        <v/>
      </c>
      <c r="N169" s="18"/>
      <c r="O169" s="8"/>
      <c r="P169" s="24"/>
      <c r="Q169" s="46"/>
      <c r="R169" s="46"/>
      <c r="S169" s="46"/>
      <c r="T169" s="24"/>
      <c r="U169" s="24"/>
    </row>
    <row r="170" spans="1:21">
      <c r="A170" s="12"/>
      <c r="B170" s="12"/>
      <c r="C170" s="12"/>
      <c r="D170" s="12"/>
      <c r="E170" s="12"/>
      <c r="F170" s="12"/>
      <c r="G170" s="12"/>
      <c r="H170" s="14"/>
      <c r="I170" s="12"/>
      <c r="J170" s="12"/>
      <c r="K170" s="12"/>
      <c r="L170" s="14"/>
      <c r="M170" s="13" t="str">
        <f t="shared" si="7"/>
        <v/>
      </c>
      <c r="N170" s="14"/>
      <c r="O170" s="12"/>
      <c r="P170" s="24"/>
      <c r="Q170" s="46"/>
      <c r="R170" s="46"/>
      <c r="S170" s="46"/>
      <c r="T170" s="24"/>
      <c r="U170" s="24"/>
    </row>
    <row r="171" spans="1:21">
      <c r="A171" s="8"/>
      <c r="B171" s="8"/>
      <c r="C171" s="8"/>
      <c r="D171" s="8"/>
      <c r="E171" s="8"/>
      <c r="F171" s="8"/>
      <c r="G171" s="8"/>
      <c r="H171" s="18"/>
      <c r="I171" s="8"/>
      <c r="J171" s="8"/>
      <c r="K171" s="8"/>
      <c r="L171" s="18"/>
      <c r="M171" s="9" t="str">
        <f t="shared" ref="M171:M190" si="8">IF(L171="","",EDATE(L171,1))</f>
        <v/>
      </c>
      <c r="N171" s="18"/>
      <c r="O171" s="8"/>
      <c r="P171" s="24"/>
      <c r="Q171" s="46"/>
      <c r="R171" s="46"/>
      <c r="S171" s="46"/>
      <c r="T171" s="24"/>
      <c r="U171" s="24"/>
    </row>
    <row r="172" spans="1:21">
      <c r="A172" s="12"/>
      <c r="B172" s="12"/>
      <c r="C172" s="12"/>
      <c r="D172" s="12"/>
      <c r="E172" s="12"/>
      <c r="F172" s="12"/>
      <c r="G172" s="12"/>
      <c r="H172" s="14"/>
      <c r="I172" s="12"/>
      <c r="J172" s="12"/>
      <c r="K172" s="12"/>
      <c r="L172" s="14"/>
      <c r="M172" s="13" t="str">
        <f t="shared" si="8"/>
        <v/>
      </c>
      <c r="N172" s="14"/>
      <c r="O172" s="12"/>
      <c r="P172" s="24"/>
      <c r="Q172" s="46"/>
      <c r="R172" s="46"/>
      <c r="S172" s="46"/>
      <c r="T172" s="24"/>
      <c r="U172" s="24"/>
    </row>
    <row r="173" spans="1:21">
      <c r="A173" s="8"/>
      <c r="B173" s="8"/>
      <c r="C173" s="8"/>
      <c r="D173" s="8"/>
      <c r="E173" s="8"/>
      <c r="F173" s="8"/>
      <c r="G173" s="8"/>
      <c r="H173" s="18"/>
      <c r="I173" s="8"/>
      <c r="J173" s="8"/>
      <c r="K173" s="8"/>
      <c r="L173" s="18"/>
      <c r="M173" s="9" t="str">
        <f t="shared" si="8"/>
        <v/>
      </c>
      <c r="N173" s="18"/>
      <c r="O173" s="8"/>
      <c r="P173" s="24"/>
      <c r="Q173" s="46"/>
      <c r="R173" s="46"/>
      <c r="S173" s="46"/>
      <c r="T173" s="24"/>
      <c r="U173" s="24"/>
    </row>
    <row r="174" spans="1:21">
      <c r="A174" s="12"/>
      <c r="B174" s="12"/>
      <c r="C174" s="12"/>
      <c r="D174" s="12"/>
      <c r="E174" s="12"/>
      <c r="F174" s="12"/>
      <c r="G174" s="12"/>
      <c r="H174" s="14"/>
      <c r="I174" s="12"/>
      <c r="J174" s="12"/>
      <c r="K174" s="12"/>
      <c r="L174" s="14"/>
      <c r="M174" s="13" t="str">
        <f t="shared" si="8"/>
        <v/>
      </c>
      <c r="N174" s="14"/>
      <c r="O174" s="12"/>
      <c r="P174" s="24"/>
      <c r="Q174" s="46"/>
      <c r="R174" s="46"/>
      <c r="S174" s="46"/>
      <c r="T174" s="24"/>
      <c r="U174" s="24"/>
    </row>
    <row r="175" spans="1:21">
      <c r="A175" s="8"/>
      <c r="B175" s="8"/>
      <c r="C175" s="8"/>
      <c r="D175" s="8"/>
      <c r="E175" s="8"/>
      <c r="F175" s="8"/>
      <c r="G175" s="8"/>
      <c r="H175" s="18"/>
      <c r="I175" s="8"/>
      <c r="J175" s="8"/>
      <c r="K175" s="8"/>
      <c r="L175" s="18"/>
      <c r="M175" s="9" t="str">
        <f t="shared" si="8"/>
        <v/>
      </c>
      <c r="N175" s="18"/>
      <c r="O175" s="8"/>
      <c r="P175" s="24"/>
      <c r="Q175" s="46"/>
      <c r="R175" s="46"/>
      <c r="S175" s="46"/>
      <c r="T175" s="24"/>
      <c r="U175" s="24"/>
    </row>
    <row r="176" spans="1:21">
      <c r="A176" s="12"/>
      <c r="B176" s="12"/>
      <c r="C176" s="12"/>
      <c r="D176" s="12"/>
      <c r="E176" s="12"/>
      <c r="F176" s="12"/>
      <c r="G176" s="12"/>
      <c r="H176" s="14"/>
      <c r="I176" s="12"/>
      <c r="J176" s="12"/>
      <c r="K176" s="12"/>
      <c r="L176" s="14"/>
      <c r="M176" s="13" t="str">
        <f t="shared" si="8"/>
        <v/>
      </c>
      <c r="N176" s="14"/>
      <c r="O176" s="12"/>
      <c r="P176" s="24"/>
      <c r="Q176" s="46"/>
      <c r="R176" s="46"/>
      <c r="S176" s="46"/>
      <c r="T176" s="24"/>
      <c r="U176" s="24"/>
    </row>
    <row r="177" spans="1:21">
      <c r="A177" s="8"/>
      <c r="B177" s="8"/>
      <c r="C177" s="8"/>
      <c r="D177" s="8"/>
      <c r="E177" s="8"/>
      <c r="F177" s="8"/>
      <c r="G177" s="8"/>
      <c r="H177" s="18"/>
      <c r="I177" s="8"/>
      <c r="J177" s="8"/>
      <c r="K177" s="8"/>
      <c r="L177" s="18"/>
      <c r="M177" s="9" t="str">
        <f t="shared" si="8"/>
        <v/>
      </c>
      <c r="N177" s="18"/>
      <c r="O177" s="8"/>
      <c r="P177" s="24"/>
      <c r="Q177" s="46"/>
      <c r="R177" s="46"/>
      <c r="S177" s="46"/>
      <c r="T177" s="24"/>
      <c r="U177" s="24"/>
    </row>
    <row r="178" spans="1:21">
      <c r="A178" s="12"/>
      <c r="B178" s="12"/>
      <c r="C178" s="12"/>
      <c r="D178" s="12"/>
      <c r="E178" s="12"/>
      <c r="F178" s="12"/>
      <c r="G178" s="12"/>
      <c r="H178" s="14"/>
      <c r="I178" s="12"/>
      <c r="J178" s="12"/>
      <c r="K178" s="12"/>
      <c r="L178" s="14"/>
      <c r="M178" s="13" t="str">
        <f t="shared" si="8"/>
        <v/>
      </c>
      <c r="N178" s="14"/>
      <c r="O178" s="12"/>
      <c r="P178" s="24"/>
      <c r="Q178" s="46"/>
      <c r="R178" s="46"/>
      <c r="S178" s="46"/>
      <c r="T178" s="24"/>
      <c r="U178" s="24"/>
    </row>
    <row r="179" spans="1:21">
      <c r="A179" s="8"/>
      <c r="B179" s="8"/>
      <c r="C179" s="8"/>
      <c r="D179" s="8"/>
      <c r="E179" s="8"/>
      <c r="F179" s="8"/>
      <c r="G179" s="8"/>
      <c r="H179" s="18"/>
      <c r="I179" s="8"/>
      <c r="J179" s="8"/>
      <c r="K179" s="8"/>
      <c r="L179" s="18"/>
      <c r="M179" s="9" t="str">
        <f t="shared" si="8"/>
        <v/>
      </c>
      <c r="N179" s="18"/>
      <c r="O179" s="8"/>
      <c r="P179" s="24"/>
      <c r="Q179" s="46"/>
      <c r="R179" s="46"/>
      <c r="S179" s="46"/>
      <c r="T179" s="24"/>
      <c r="U179" s="24"/>
    </row>
    <row r="180" spans="1:21">
      <c r="A180" s="12"/>
      <c r="B180" s="12"/>
      <c r="C180" s="12"/>
      <c r="D180" s="12"/>
      <c r="E180" s="12"/>
      <c r="F180" s="12"/>
      <c r="G180" s="12"/>
      <c r="H180" s="14"/>
      <c r="I180" s="12"/>
      <c r="J180" s="12"/>
      <c r="K180" s="12"/>
      <c r="L180" s="14"/>
      <c r="M180" s="13" t="str">
        <f t="shared" si="8"/>
        <v/>
      </c>
      <c r="N180" s="14"/>
      <c r="O180" s="12"/>
      <c r="P180" s="24"/>
      <c r="Q180" s="46"/>
      <c r="R180" s="46"/>
      <c r="S180" s="46"/>
      <c r="T180" s="24"/>
      <c r="U180" s="24"/>
    </row>
    <row r="181" spans="1:21">
      <c r="A181" s="8"/>
      <c r="B181" s="8"/>
      <c r="C181" s="8"/>
      <c r="D181" s="8"/>
      <c r="E181" s="8"/>
      <c r="F181" s="8"/>
      <c r="G181" s="8"/>
      <c r="H181" s="18"/>
      <c r="I181" s="8"/>
      <c r="J181" s="8"/>
      <c r="K181" s="8"/>
      <c r="L181" s="18"/>
      <c r="M181" s="9" t="str">
        <f t="shared" si="8"/>
        <v/>
      </c>
      <c r="N181" s="18"/>
      <c r="O181" s="8"/>
      <c r="P181" s="24"/>
      <c r="Q181" s="46"/>
      <c r="R181" s="46"/>
      <c r="S181" s="46"/>
      <c r="T181" s="24"/>
      <c r="U181" s="24"/>
    </row>
    <row r="182" spans="1:21">
      <c r="A182" s="12"/>
      <c r="B182" s="12"/>
      <c r="C182" s="12"/>
      <c r="D182" s="12"/>
      <c r="E182" s="12"/>
      <c r="F182" s="12"/>
      <c r="G182" s="12"/>
      <c r="H182" s="14"/>
      <c r="I182" s="12"/>
      <c r="J182" s="12"/>
      <c r="K182" s="12"/>
      <c r="L182" s="14"/>
      <c r="M182" s="13" t="str">
        <f t="shared" si="8"/>
        <v/>
      </c>
      <c r="N182" s="14"/>
      <c r="O182" s="12"/>
      <c r="P182" s="24"/>
      <c r="Q182" s="46"/>
      <c r="R182" s="46"/>
      <c r="S182" s="46"/>
      <c r="T182" s="24"/>
      <c r="U182" s="24"/>
    </row>
    <row r="183" spans="1:21">
      <c r="A183" s="8"/>
      <c r="B183" s="8"/>
      <c r="C183" s="8"/>
      <c r="D183" s="8"/>
      <c r="E183" s="8"/>
      <c r="F183" s="8"/>
      <c r="G183" s="8"/>
      <c r="H183" s="18"/>
      <c r="I183" s="8"/>
      <c r="J183" s="8"/>
      <c r="K183" s="8"/>
      <c r="L183" s="18"/>
      <c r="M183" s="9" t="str">
        <f t="shared" si="8"/>
        <v/>
      </c>
      <c r="N183" s="18"/>
      <c r="O183" s="8"/>
      <c r="P183" s="24"/>
      <c r="Q183" s="46"/>
      <c r="R183" s="46"/>
      <c r="S183" s="46"/>
      <c r="T183" s="24"/>
      <c r="U183" s="24"/>
    </row>
    <row r="184" spans="1:21">
      <c r="A184" s="12"/>
      <c r="B184" s="12"/>
      <c r="C184" s="12"/>
      <c r="D184" s="12"/>
      <c r="E184" s="12"/>
      <c r="F184" s="12"/>
      <c r="G184" s="12"/>
      <c r="H184" s="14"/>
      <c r="I184" s="12"/>
      <c r="J184" s="12"/>
      <c r="K184" s="12"/>
      <c r="L184" s="14"/>
      <c r="M184" s="13" t="str">
        <f t="shared" si="8"/>
        <v/>
      </c>
      <c r="N184" s="14"/>
      <c r="O184" s="12"/>
      <c r="P184" s="24"/>
      <c r="Q184" s="46"/>
      <c r="R184" s="46"/>
      <c r="S184" s="46"/>
      <c r="T184" s="24"/>
      <c r="U184" s="24"/>
    </row>
    <row r="185" spans="1:21">
      <c r="A185" s="8"/>
      <c r="B185" s="8"/>
      <c r="C185" s="8"/>
      <c r="D185" s="8"/>
      <c r="E185" s="8"/>
      <c r="F185" s="8"/>
      <c r="G185" s="8"/>
      <c r="H185" s="18"/>
      <c r="I185" s="8"/>
      <c r="J185" s="8"/>
      <c r="K185" s="8"/>
      <c r="L185" s="18"/>
      <c r="M185" s="9" t="str">
        <f t="shared" si="8"/>
        <v/>
      </c>
      <c r="N185" s="18"/>
      <c r="O185" s="8"/>
      <c r="P185" s="24"/>
      <c r="Q185" s="46"/>
      <c r="R185" s="46"/>
      <c r="S185" s="46"/>
      <c r="T185" s="24"/>
      <c r="U185" s="24"/>
    </row>
    <row r="186" spans="1:21">
      <c r="A186" s="12"/>
      <c r="B186" s="12"/>
      <c r="C186" s="12"/>
      <c r="D186" s="12"/>
      <c r="E186" s="12"/>
      <c r="F186" s="12"/>
      <c r="G186" s="12"/>
      <c r="H186" s="14"/>
      <c r="I186" s="12"/>
      <c r="J186" s="12"/>
      <c r="K186" s="12"/>
      <c r="L186" s="14"/>
      <c r="M186" s="13" t="str">
        <f t="shared" si="8"/>
        <v/>
      </c>
      <c r="N186" s="14"/>
      <c r="O186" s="12"/>
      <c r="P186" s="24"/>
      <c r="Q186" s="46"/>
      <c r="R186" s="46"/>
      <c r="S186" s="46"/>
      <c r="T186" s="24"/>
      <c r="U186" s="24"/>
    </row>
    <row r="187" spans="1:21">
      <c r="A187" s="8"/>
      <c r="B187" s="8"/>
      <c r="C187" s="8"/>
      <c r="D187" s="8"/>
      <c r="E187" s="8"/>
      <c r="F187" s="8"/>
      <c r="G187" s="8"/>
      <c r="H187" s="18"/>
      <c r="I187" s="8"/>
      <c r="J187" s="8"/>
      <c r="K187" s="8"/>
      <c r="L187" s="18"/>
      <c r="M187" s="9" t="str">
        <f t="shared" si="8"/>
        <v/>
      </c>
      <c r="N187" s="18"/>
      <c r="O187" s="8"/>
      <c r="P187" s="24"/>
      <c r="Q187" s="46"/>
      <c r="R187" s="46"/>
      <c r="S187" s="46"/>
      <c r="T187" s="24"/>
      <c r="U187" s="24"/>
    </row>
    <row r="188" spans="1:21">
      <c r="A188" s="12"/>
      <c r="B188" s="12"/>
      <c r="C188" s="12"/>
      <c r="D188" s="12"/>
      <c r="E188" s="12"/>
      <c r="F188" s="12"/>
      <c r="G188" s="12"/>
      <c r="H188" s="14"/>
      <c r="I188" s="12"/>
      <c r="J188" s="12"/>
      <c r="K188" s="12"/>
      <c r="L188" s="14"/>
      <c r="M188" s="13" t="str">
        <f t="shared" si="8"/>
        <v/>
      </c>
      <c r="N188" s="14"/>
      <c r="O188" s="12"/>
      <c r="P188" s="24"/>
      <c r="Q188" s="46"/>
      <c r="R188" s="46"/>
      <c r="S188" s="46"/>
      <c r="T188" s="24"/>
      <c r="U188" s="24"/>
    </row>
    <row r="189" spans="1:21">
      <c r="A189" s="8"/>
      <c r="B189" s="8"/>
      <c r="C189" s="8"/>
      <c r="D189" s="8"/>
      <c r="E189" s="8"/>
      <c r="F189" s="8"/>
      <c r="G189" s="8"/>
      <c r="H189" s="18"/>
      <c r="I189" s="8"/>
      <c r="J189" s="8"/>
      <c r="K189" s="8"/>
      <c r="L189" s="18"/>
      <c r="M189" s="9" t="str">
        <f t="shared" si="8"/>
        <v/>
      </c>
      <c r="N189" s="18"/>
      <c r="O189" s="8"/>
      <c r="P189" s="24"/>
      <c r="Q189" s="46"/>
      <c r="R189" s="46"/>
      <c r="S189" s="46"/>
      <c r="T189" s="24"/>
      <c r="U189" s="24"/>
    </row>
    <row r="190" spans="1:21">
      <c r="A190" s="12"/>
      <c r="B190" s="12"/>
      <c r="C190" s="12"/>
      <c r="D190" s="12"/>
      <c r="E190" s="12"/>
      <c r="F190" s="12"/>
      <c r="G190" s="12"/>
      <c r="H190" s="14"/>
      <c r="I190" s="12"/>
      <c r="J190" s="12"/>
      <c r="K190" s="12"/>
      <c r="L190" s="14"/>
      <c r="M190" s="13" t="str">
        <f t="shared" si="8"/>
        <v/>
      </c>
      <c r="N190" s="14"/>
      <c r="O190" s="12"/>
      <c r="P190" s="24"/>
      <c r="Q190" s="46"/>
      <c r="R190" s="46"/>
      <c r="S190" s="46"/>
      <c r="T190" s="24"/>
      <c r="U190" s="24"/>
    </row>
    <row r="191" spans="1:21">
      <c r="A191" s="12"/>
      <c r="B191" s="12"/>
      <c r="C191" s="12"/>
      <c r="D191" s="12"/>
      <c r="E191" s="12"/>
      <c r="F191" s="12"/>
      <c r="G191" s="12"/>
      <c r="H191" s="14"/>
      <c r="I191" s="12"/>
      <c r="J191" s="22"/>
      <c r="K191" s="12"/>
      <c r="L191" s="14"/>
      <c r="M191" s="23" t="str">
        <f t="shared" ref="M191:M194" si="9">IF(L191="","",EDATE(L191,1))</f>
        <v/>
      </c>
      <c r="N191" s="14"/>
      <c r="O191" s="12"/>
      <c r="P191" s="24"/>
      <c r="Q191" s="46"/>
      <c r="R191" s="46"/>
      <c r="S191" s="46"/>
      <c r="T191" s="24"/>
      <c r="U191" s="24"/>
    </row>
    <row r="192" spans="1:21">
      <c r="A192" s="12"/>
      <c r="B192" s="12"/>
      <c r="C192" s="12"/>
      <c r="D192" s="12"/>
      <c r="E192" s="12"/>
      <c r="F192" s="12"/>
      <c r="G192" s="12"/>
      <c r="H192" s="14"/>
      <c r="I192" s="12"/>
      <c r="J192" s="22"/>
      <c r="K192" s="12"/>
      <c r="L192" s="14"/>
      <c r="M192" s="23" t="str">
        <f t="shared" si="9"/>
        <v/>
      </c>
      <c r="N192" s="14"/>
      <c r="O192" s="12"/>
      <c r="P192" s="24"/>
      <c r="Q192" s="46"/>
      <c r="R192" s="46"/>
      <c r="S192" s="46"/>
      <c r="T192" s="24"/>
      <c r="U192" s="24"/>
    </row>
    <row r="193" spans="1:21">
      <c r="A193" s="12"/>
      <c r="B193" s="12"/>
      <c r="C193" s="12"/>
      <c r="D193" s="12"/>
      <c r="E193" s="12"/>
      <c r="F193" s="12"/>
      <c r="G193" s="12"/>
      <c r="H193" s="14"/>
      <c r="I193" s="12"/>
      <c r="J193" s="22"/>
      <c r="K193" s="12"/>
      <c r="L193" s="14"/>
      <c r="M193" s="23" t="str">
        <f t="shared" si="9"/>
        <v/>
      </c>
      <c r="N193" s="14"/>
      <c r="O193" s="12"/>
      <c r="P193" s="24"/>
      <c r="Q193" s="46"/>
      <c r="R193" s="46"/>
      <c r="S193" s="46"/>
      <c r="T193" s="24"/>
      <c r="U193" s="24"/>
    </row>
    <row r="194" spans="1:21">
      <c r="A194" s="12"/>
      <c r="B194" s="12"/>
      <c r="C194" s="12"/>
      <c r="D194" s="12"/>
      <c r="E194" s="12"/>
      <c r="F194" s="12"/>
      <c r="G194" s="12"/>
      <c r="H194" s="14"/>
      <c r="I194" s="12"/>
      <c r="J194" s="22"/>
      <c r="K194" s="12"/>
      <c r="L194" s="14"/>
      <c r="M194" s="23" t="str">
        <f t="shared" si="9"/>
        <v/>
      </c>
      <c r="N194" s="14"/>
      <c r="O194" s="12"/>
      <c r="P194" s="26"/>
      <c r="Q194" s="48"/>
      <c r="R194" s="48"/>
      <c r="S194" s="48"/>
      <c r="T194" s="26"/>
      <c r="U194" s="26"/>
    </row>
    <row r="195" spans="1:21">
      <c r="A195" s="12" t="s">
        <v>64</v>
      </c>
      <c r="B195" s="12"/>
      <c r="C195" s="12" t="s">
        <v>374</v>
      </c>
      <c r="D195" s="12" t="s">
        <v>24</v>
      </c>
      <c r="E195" s="12" t="s">
        <v>25</v>
      </c>
      <c r="F195" s="12"/>
      <c r="G195" s="12"/>
      <c r="H195" s="14"/>
      <c r="I195" s="12"/>
      <c r="J195" s="22"/>
      <c r="K195" s="12"/>
      <c r="L195" s="14"/>
      <c r="M195" s="23"/>
      <c r="N195" s="14">
        <v>46135</v>
      </c>
      <c r="O195" s="12"/>
      <c r="P195" s="24" t="s">
        <v>29</v>
      </c>
      <c r="Q195" s="46" t="s">
        <v>30</v>
      </c>
      <c r="R195" s="46" t="s">
        <v>31</v>
      </c>
      <c r="S195" s="46">
        <v>6574</v>
      </c>
      <c r="T195" s="24" t="s">
        <v>30</v>
      </c>
      <c r="U195" s="24"/>
    </row>
    <row r="196" spans="1:21">
      <c r="A196" s="12" t="s">
        <v>68</v>
      </c>
      <c r="B196" s="12"/>
      <c r="C196" s="12" t="s">
        <v>375</v>
      </c>
      <c r="D196" s="12" t="s">
        <v>42</v>
      </c>
      <c r="E196" s="12" t="s">
        <v>25</v>
      </c>
      <c r="F196" s="12"/>
      <c r="G196" s="12"/>
      <c r="H196" s="14"/>
      <c r="I196" s="12"/>
      <c r="J196" s="22"/>
      <c r="K196" s="12"/>
      <c r="L196" s="14"/>
      <c r="M196" s="23"/>
      <c r="N196" s="14">
        <v>46134</v>
      </c>
      <c r="O196" s="12"/>
      <c r="P196" s="24" t="s">
        <v>29</v>
      </c>
      <c r="Q196" s="46" t="s">
        <v>31</v>
      </c>
      <c r="R196" s="46" t="s">
        <v>31</v>
      </c>
      <c r="S196" s="46">
        <v>20624.8</v>
      </c>
      <c r="T196" s="24" t="s">
        <v>30</v>
      </c>
      <c r="U196" s="24"/>
    </row>
    <row r="197" spans="1:21">
      <c r="A197" s="12" t="s">
        <v>376</v>
      </c>
      <c r="B197" s="12"/>
      <c r="C197" s="12" t="s">
        <v>377</v>
      </c>
      <c r="D197" s="12" t="s">
        <v>24</v>
      </c>
      <c r="E197" s="12" t="s">
        <v>25</v>
      </c>
      <c r="F197" s="12"/>
      <c r="G197" s="12"/>
      <c r="H197" s="14"/>
      <c r="I197" s="12"/>
      <c r="J197" s="22"/>
      <c r="K197" s="12"/>
      <c r="L197" s="14"/>
      <c r="M197" s="23"/>
      <c r="N197" s="14">
        <v>46122</v>
      </c>
      <c r="O197" s="12"/>
      <c r="P197" s="24" t="s">
        <v>29</v>
      </c>
      <c r="Q197" s="46" t="s">
        <v>30</v>
      </c>
      <c r="R197" s="46" t="s">
        <v>31</v>
      </c>
      <c r="S197" s="46">
        <v>20815.2</v>
      </c>
      <c r="T197" s="24" t="s">
        <v>30</v>
      </c>
      <c r="U197" s="24"/>
    </row>
    <row r="198" spans="1:21">
      <c r="A198" s="12" t="s">
        <v>378</v>
      </c>
      <c r="B198" s="12"/>
      <c r="C198" s="12" t="s">
        <v>379</v>
      </c>
      <c r="D198" s="12" t="s">
        <v>24</v>
      </c>
      <c r="E198" s="12" t="s">
        <v>25</v>
      </c>
      <c r="F198" s="12"/>
      <c r="G198" s="12"/>
      <c r="H198" s="14"/>
      <c r="I198" s="12"/>
      <c r="J198" s="22"/>
      <c r="K198" s="12"/>
      <c r="L198" s="14"/>
      <c r="M198" s="23"/>
      <c r="N198" s="14">
        <v>46119</v>
      </c>
      <c r="O198" s="12"/>
      <c r="P198" s="24" t="s">
        <v>29</v>
      </c>
      <c r="Q198" s="46" t="s">
        <v>30</v>
      </c>
      <c r="R198" s="46" t="s">
        <v>31</v>
      </c>
      <c r="S198" s="46">
        <v>9472</v>
      </c>
      <c r="T198" s="24" t="s">
        <v>30</v>
      </c>
      <c r="U198" s="24"/>
    </row>
    <row r="199" spans="1:21">
      <c r="A199" s="12" t="s">
        <v>380</v>
      </c>
      <c r="B199" s="12"/>
      <c r="C199" s="12" t="s">
        <v>381</v>
      </c>
      <c r="D199" s="12" t="s">
        <v>24</v>
      </c>
      <c r="E199" s="12" t="s">
        <v>25</v>
      </c>
      <c r="F199" s="12"/>
      <c r="G199" s="12"/>
      <c r="H199" s="14"/>
      <c r="I199" s="12"/>
      <c r="J199" s="22"/>
      <c r="K199" s="12"/>
      <c r="L199" s="14"/>
      <c r="M199" s="23"/>
      <c r="N199" s="14">
        <v>46118</v>
      </c>
      <c r="O199" s="12"/>
      <c r="P199" s="24" t="s">
        <v>29</v>
      </c>
      <c r="Q199" s="46" t="s">
        <v>30</v>
      </c>
      <c r="R199" s="46" t="s">
        <v>31</v>
      </c>
      <c r="S199" s="46">
        <v>2701.6</v>
      </c>
      <c r="T199" s="24" t="s">
        <v>30</v>
      </c>
      <c r="U199" s="24"/>
    </row>
    <row r="200" spans="1:21">
      <c r="A200" s="12" t="s">
        <v>382</v>
      </c>
      <c r="B200" s="12"/>
      <c r="C200" s="12" t="s">
        <v>383</v>
      </c>
      <c r="D200" s="12" t="s">
        <v>24</v>
      </c>
      <c r="E200" s="12" t="s">
        <v>25</v>
      </c>
      <c r="F200" s="12"/>
      <c r="G200" s="12"/>
      <c r="H200" s="14"/>
      <c r="I200" s="12"/>
      <c r="J200" s="22"/>
      <c r="K200" s="12"/>
      <c r="L200" s="14"/>
      <c r="M200" s="23"/>
      <c r="N200" s="14">
        <v>46117</v>
      </c>
      <c r="O200" s="12"/>
      <c r="P200" s="24" t="s">
        <v>29</v>
      </c>
      <c r="Q200" s="46" t="s">
        <v>30</v>
      </c>
      <c r="R200" s="46" t="s">
        <v>31</v>
      </c>
      <c r="S200" s="46">
        <v>6266</v>
      </c>
      <c r="T200" s="24" t="s">
        <v>30</v>
      </c>
      <c r="U200" s="24"/>
    </row>
    <row r="201" spans="1:21">
      <c r="A201" s="12" t="s">
        <v>384</v>
      </c>
      <c r="B201" s="12"/>
      <c r="C201" s="12" t="s">
        <v>385</v>
      </c>
      <c r="D201" s="12" t="s">
        <v>24</v>
      </c>
      <c r="E201" s="12" t="s">
        <v>25</v>
      </c>
      <c r="F201" s="12"/>
      <c r="G201" s="12"/>
      <c r="H201" s="14"/>
      <c r="I201" s="12"/>
      <c r="J201" s="22"/>
      <c r="K201" s="12"/>
      <c r="L201" s="14"/>
      <c r="M201" s="23"/>
      <c r="N201" s="14">
        <v>46070</v>
      </c>
      <c r="O201" s="12"/>
      <c r="P201" s="24" t="s">
        <v>29</v>
      </c>
      <c r="Q201" s="46" t="s">
        <v>31</v>
      </c>
      <c r="R201" s="46" t="s">
        <v>30</v>
      </c>
      <c r="S201" s="46"/>
      <c r="T201" s="24" t="s">
        <v>30</v>
      </c>
      <c r="U201" s="24"/>
    </row>
    <row r="202" spans="1:21">
      <c r="A202" s="12" t="s">
        <v>386</v>
      </c>
      <c r="B202" s="12"/>
      <c r="C202" s="12" t="s">
        <v>387</v>
      </c>
      <c r="D202" s="12" t="s">
        <v>63</v>
      </c>
      <c r="E202" s="12" t="s">
        <v>25</v>
      </c>
      <c r="F202" s="12"/>
      <c r="G202" s="12"/>
      <c r="H202" s="14"/>
      <c r="I202" s="12"/>
      <c r="J202" s="22"/>
      <c r="K202" s="12"/>
      <c r="L202" s="14"/>
      <c r="M202" s="23"/>
      <c r="N202" s="14">
        <v>46069</v>
      </c>
      <c r="O202" s="12"/>
      <c r="P202" s="24" t="s">
        <v>29</v>
      </c>
      <c r="Q202" s="46" t="s">
        <v>31</v>
      </c>
      <c r="R202" s="46" t="s">
        <v>30</v>
      </c>
      <c r="S202" s="46"/>
      <c r="T202" s="24" t="s">
        <v>30</v>
      </c>
      <c r="U202" s="24"/>
    </row>
    <row r="203" spans="1:21">
      <c r="A203" s="12" t="s">
        <v>388</v>
      </c>
      <c r="B203" s="12"/>
      <c r="C203" s="12" t="s">
        <v>389</v>
      </c>
      <c r="D203" s="12" t="s">
        <v>24</v>
      </c>
      <c r="E203" s="12" t="s">
        <v>25</v>
      </c>
      <c r="F203" s="12"/>
      <c r="G203" s="12"/>
      <c r="H203" s="14"/>
      <c r="I203" s="12"/>
      <c r="J203" s="22"/>
      <c r="K203" s="12"/>
      <c r="L203" s="14"/>
      <c r="M203" s="23"/>
      <c r="N203" s="14">
        <v>46067</v>
      </c>
      <c r="O203" s="12"/>
      <c r="P203" s="24" t="s">
        <v>29</v>
      </c>
      <c r="Q203" s="46" t="s">
        <v>31</v>
      </c>
      <c r="R203" s="46" t="s">
        <v>30</v>
      </c>
      <c r="S203" s="46"/>
      <c r="T203" s="24" t="s">
        <v>30</v>
      </c>
      <c r="U203" s="24"/>
    </row>
    <row r="204" spans="1:21">
      <c r="A204" s="12" t="s">
        <v>390</v>
      </c>
      <c r="B204" s="12"/>
      <c r="C204" s="12" t="s">
        <v>391</v>
      </c>
      <c r="D204" s="12" t="s">
        <v>2525</v>
      </c>
      <c r="E204" s="12" t="s">
        <v>123</v>
      </c>
      <c r="F204" s="12"/>
      <c r="G204" s="12"/>
      <c r="H204" s="14"/>
      <c r="I204" s="12"/>
      <c r="J204" s="22"/>
      <c r="K204" s="12"/>
      <c r="L204" s="14"/>
      <c r="M204" s="23"/>
      <c r="N204" s="14">
        <v>46058</v>
      </c>
      <c r="O204" s="12"/>
      <c r="P204" s="24" t="s">
        <v>2524</v>
      </c>
      <c r="Q204" s="46" t="s">
        <v>30</v>
      </c>
      <c r="R204" s="46" t="s">
        <v>30</v>
      </c>
      <c r="S204" s="46"/>
      <c r="T204" s="24" t="s">
        <v>30</v>
      </c>
      <c r="U204" s="24"/>
    </row>
    <row r="205" spans="1:21">
      <c r="A205" s="12" t="s">
        <v>392</v>
      </c>
      <c r="B205" s="12"/>
      <c r="C205" s="12" t="s">
        <v>393</v>
      </c>
      <c r="D205" s="12" t="s">
        <v>2526</v>
      </c>
      <c r="E205" s="12" t="s">
        <v>123</v>
      </c>
      <c r="F205" s="12"/>
      <c r="G205" s="12"/>
      <c r="H205" s="14"/>
      <c r="I205" s="12"/>
      <c r="J205" s="22"/>
      <c r="K205" s="12"/>
      <c r="L205" s="14"/>
      <c r="M205" s="23"/>
      <c r="N205" s="14">
        <v>46050</v>
      </c>
      <c r="O205" s="12"/>
      <c r="P205" s="24" t="s">
        <v>2524</v>
      </c>
      <c r="Q205" s="46" t="s">
        <v>30</v>
      </c>
      <c r="R205" s="46" t="s">
        <v>30</v>
      </c>
      <c r="S205" s="46"/>
      <c r="T205" s="24" t="s">
        <v>30</v>
      </c>
      <c r="U205" s="24"/>
    </row>
    <row r="206" spans="1:21">
      <c r="A206" s="12" t="s">
        <v>394</v>
      </c>
      <c r="B206" s="12"/>
      <c r="C206" s="12" t="s">
        <v>395</v>
      </c>
      <c r="D206" s="12" t="s">
        <v>2525</v>
      </c>
      <c r="E206" s="12" t="s">
        <v>123</v>
      </c>
      <c r="F206" s="12"/>
      <c r="G206" s="12"/>
      <c r="H206" s="14"/>
      <c r="I206" s="12"/>
      <c r="J206" s="22"/>
      <c r="K206" s="12"/>
      <c r="L206" s="14"/>
      <c r="M206" s="23"/>
      <c r="N206" s="14">
        <v>46043</v>
      </c>
      <c r="O206" s="12"/>
      <c r="P206" s="24" t="s">
        <v>2524</v>
      </c>
      <c r="Q206" s="46" t="s">
        <v>30</v>
      </c>
      <c r="R206" s="46" t="s">
        <v>30</v>
      </c>
      <c r="S206" s="46"/>
      <c r="T206" s="24" t="s">
        <v>30</v>
      </c>
      <c r="U206" s="24"/>
    </row>
    <row r="207" spans="1:21">
      <c r="A207" s="12" t="s">
        <v>396</v>
      </c>
      <c r="B207" s="12"/>
      <c r="C207" s="12" t="s">
        <v>397</v>
      </c>
      <c r="D207" s="12" t="s">
        <v>24</v>
      </c>
      <c r="E207" s="12" t="s">
        <v>25</v>
      </c>
      <c r="F207" s="12"/>
      <c r="G207" s="12"/>
      <c r="H207" s="14"/>
      <c r="I207" s="12"/>
      <c r="J207" s="22"/>
      <c r="K207" s="12"/>
      <c r="L207" s="14"/>
      <c r="M207" s="23"/>
      <c r="N207" s="14">
        <v>46039</v>
      </c>
      <c r="O207" s="12"/>
      <c r="P207" s="24" t="s">
        <v>29</v>
      </c>
      <c r="Q207" s="46" t="s">
        <v>31</v>
      </c>
      <c r="R207" s="46" t="s">
        <v>30</v>
      </c>
      <c r="S207" s="46"/>
      <c r="T207" s="24" t="s">
        <v>30</v>
      </c>
      <c r="U207" s="24"/>
    </row>
    <row r="208" spans="1:21">
      <c r="A208" s="12" t="s">
        <v>398</v>
      </c>
      <c r="B208" s="12"/>
      <c r="C208" s="12" t="s">
        <v>399</v>
      </c>
      <c r="D208" s="12" t="s">
        <v>24</v>
      </c>
      <c r="E208" s="12" t="s">
        <v>25</v>
      </c>
      <c r="F208" s="12"/>
      <c r="G208" s="12"/>
      <c r="H208" s="14"/>
      <c r="I208" s="12"/>
      <c r="J208" s="22"/>
      <c r="K208" s="12"/>
      <c r="L208" s="14"/>
      <c r="M208" s="23"/>
      <c r="N208" s="14">
        <v>46038</v>
      </c>
      <c r="O208" s="12"/>
      <c r="P208" s="24" t="s">
        <v>29</v>
      </c>
      <c r="Q208" s="46" t="s">
        <v>31</v>
      </c>
      <c r="R208" s="46" t="s">
        <v>30</v>
      </c>
      <c r="S208" s="46"/>
      <c r="T208" s="24" t="s">
        <v>30</v>
      </c>
      <c r="U208" s="24"/>
    </row>
    <row r="209" spans="1:21">
      <c r="A209" s="12" t="s">
        <v>307</v>
      </c>
      <c r="B209" s="12"/>
      <c r="C209" s="12" t="s">
        <v>400</v>
      </c>
      <c r="D209" s="12" t="s">
        <v>42</v>
      </c>
      <c r="E209" s="12" t="s">
        <v>25</v>
      </c>
      <c r="F209" s="12"/>
      <c r="G209" s="12"/>
      <c r="H209" s="14"/>
      <c r="I209" s="12"/>
      <c r="J209" s="22"/>
      <c r="K209" s="12"/>
      <c r="L209" s="14"/>
      <c r="M209" s="23"/>
      <c r="N209" s="14">
        <v>46009</v>
      </c>
      <c r="O209" s="12"/>
      <c r="P209" s="24" t="s">
        <v>29</v>
      </c>
      <c r="Q209" s="46" t="s">
        <v>31</v>
      </c>
      <c r="R209" s="46" t="s">
        <v>30</v>
      </c>
      <c r="S209" s="46"/>
      <c r="T209" s="24" t="s">
        <v>30</v>
      </c>
      <c r="U209" s="24"/>
    </row>
    <row r="210" spans="1:21">
      <c r="A210" s="12" t="s">
        <v>401</v>
      </c>
      <c r="B210" s="12"/>
      <c r="C210" s="12" t="s">
        <v>402</v>
      </c>
      <c r="D210" s="12" t="s">
        <v>24</v>
      </c>
      <c r="E210" s="12" t="s">
        <v>25</v>
      </c>
      <c r="F210" s="12"/>
      <c r="G210" s="12"/>
      <c r="H210" s="14"/>
      <c r="I210" s="12"/>
      <c r="J210" s="22"/>
      <c r="K210" s="12"/>
      <c r="L210" s="14"/>
      <c r="M210" s="23"/>
      <c r="N210" s="14">
        <v>45986</v>
      </c>
      <c r="O210" s="12"/>
      <c r="P210" s="24" t="s">
        <v>29</v>
      </c>
      <c r="Q210" s="46" t="s">
        <v>31</v>
      </c>
      <c r="R210" s="46" t="s">
        <v>30</v>
      </c>
      <c r="S210" s="46"/>
      <c r="T210" s="24" t="s">
        <v>30</v>
      </c>
      <c r="U210" s="24"/>
    </row>
    <row r="211" spans="1:21">
      <c r="A211" s="12" t="s">
        <v>367</v>
      </c>
      <c r="B211" s="12"/>
      <c r="C211" s="12" t="s">
        <v>403</v>
      </c>
      <c r="D211" s="12" t="s">
        <v>24</v>
      </c>
      <c r="E211" s="12" t="s">
        <v>25</v>
      </c>
      <c r="F211" s="12"/>
      <c r="G211" s="12"/>
      <c r="H211" s="14"/>
      <c r="I211" s="12"/>
      <c r="J211" s="22"/>
      <c r="K211" s="12"/>
      <c r="L211" s="14"/>
      <c r="M211" s="23"/>
      <c r="N211" s="14">
        <v>45967</v>
      </c>
      <c r="O211" s="12"/>
      <c r="P211" s="24" t="s">
        <v>29</v>
      </c>
      <c r="Q211" s="46" t="s">
        <v>31</v>
      </c>
      <c r="R211" s="46" t="s">
        <v>30</v>
      </c>
      <c r="S211" s="46"/>
      <c r="T211" s="24" t="s">
        <v>30</v>
      </c>
      <c r="U211" s="24"/>
    </row>
    <row r="212" spans="1:21">
      <c r="A212" s="12" t="s">
        <v>175</v>
      </c>
      <c r="B212" s="12"/>
      <c r="C212" s="12" t="s">
        <v>404</v>
      </c>
      <c r="D212" s="12" t="s">
        <v>24</v>
      </c>
      <c r="E212" s="12" t="s">
        <v>25</v>
      </c>
      <c r="F212" s="12"/>
      <c r="G212" s="12"/>
      <c r="H212" s="14"/>
      <c r="I212" s="12"/>
      <c r="J212" s="22"/>
      <c r="K212" s="12"/>
      <c r="L212" s="14"/>
      <c r="M212" s="23"/>
      <c r="N212" s="14">
        <v>45965</v>
      </c>
      <c r="O212" s="12"/>
      <c r="P212" s="24" t="s">
        <v>29</v>
      </c>
      <c r="Q212" s="46" t="s">
        <v>31</v>
      </c>
      <c r="R212" s="46" t="s">
        <v>30</v>
      </c>
      <c r="S212" s="46"/>
      <c r="T212" s="24" t="s">
        <v>30</v>
      </c>
      <c r="U212" s="24"/>
    </row>
    <row r="213" spans="1:21">
      <c r="A213" s="12" t="s">
        <v>405</v>
      </c>
      <c r="B213" s="12"/>
      <c r="C213" s="12" t="s">
        <v>406</v>
      </c>
      <c r="D213" s="12" t="s">
        <v>2525</v>
      </c>
      <c r="E213" s="12" t="s">
        <v>123</v>
      </c>
      <c r="F213" s="12"/>
      <c r="G213" s="12"/>
      <c r="H213" s="14"/>
      <c r="I213" s="12"/>
      <c r="J213" s="22"/>
      <c r="K213" s="12"/>
      <c r="L213" s="14"/>
      <c r="M213" s="23"/>
      <c r="N213" s="14">
        <v>45962</v>
      </c>
      <c r="O213" s="12"/>
      <c r="P213" s="24" t="s">
        <v>2524</v>
      </c>
      <c r="Q213" s="46" t="s">
        <v>30</v>
      </c>
      <c r="R213" s="46" t="s">
        <v>30</v>
      </c>
      <c r="S213" s="46"/>
      <c r="T213" s="24" t="s">
        <v>30</v>
      </c>
      <c r="U213" s="24"/>
    </row>
    <row r="214" spans="1:21">
      <c r="A214" s="12" t="s">
        <v>407</v>
      </c>
      <c r="B214" s="12"/>
      <c r="C214" s="12" t="s">
        <v>408</v>
      </c>
      <c r="D214" s="12" t="s">
        <v>24</v>
      </c>
      <c r="E214" s="12" t="s">
        <v>25</v>
      </c>
      <c r="F214" s="12"/>
      <c r="G214" s="12"/>
      <c r="H214" s="14"/>
      <c r="I214" s="12"/>
      <c r="J214" s="22"/>
      <c r="K214" s="12"/>
      <c r="L214" s="14"/>
      <c r="M214" s="23"/>
      <c r="N214" s="14">
        <v>45961</v>
      </c>
      <c r="O214" s="12"/>
      <c r="P214" s="24" t="s">
        <v>29</v>
      </c>
      <c r="Q214" s="46" t="s">
        <v>31</v>
      </c>
      <c r="R214" s="46" t="s">
        <v>30</v>
      </c>
      <c r="S214" s="46"/>
      <c r="T214" s="24" t="s">
        <v>30</v>
      </c>
      <c r="U214" s="24"/>
    </row>
    <row r="215" spans="1:21">
      <c r="A215" s="12" t="s">
        <v>409</v>
      </c>
      <c r="B215" s="12"/>
      <c r="C215" s="12" t="s">
        <v>410</v>
      </c>
      <c r="D215" s="12" t="s">
        <v>42</v>
      </c>
      <c r="E215" s="12" t="s">
        <v>25</v>
      </c>
      <c r="F215" s="12"/>
      <c r="G215" s="12"/>
      <c r="H215" s="14"/>
      <c r="I215" s="12"/>
      <c r="J215" s="22"/>
      <c r="K215" s="12"/>
      <c r="L215" s="14"/>
      <c r="M215" s="23"/>
      <c r="N215" s="14">
        <v>45961</v>
      </c>
      <c r="O215" s="12"/>
      <c r="P215" s="24" t="s">
        <v>2524</v>
      </c>
      <c r="Q215" s="46" t="s">
        <v>31</v>
      </c>
      <c r="R215" s="46" t="s">
        <v>30</v>
      </c>
      <c r="S215" s="46"/>
      <c r="T215" s="24" t="s">
        <v>30</v>
      </c>
      <c r="U215" s="24"/>
    </row>
    <row r="216" spans="1:21">
      <c r="A216" s="12" t="s">
        <v>411</v>
      </c>
      <c r="B216" s="12"/>
      <c r="C216" s="12" t="s">
        <v>412</v>
      </c>
      <c r="D216" s="12" t="s">
        <v>2525</v>
      </c>
      <c r="E216" s="12" t="s">
        <v>123</v>
      </c>
      <c r="F216" s="12"/>
      <c r="G216" s="12"/>
      <c r="H216" s="14"/>
      <c r="I216" s="12"/>
      <c r="J216" s="22"/>
      <c r="K216" s="12"/>
      <c r="L216" s="14"/>
      <c r="M216" s="23"/>
      <c r="N216" s="14">
        <v>45960</v>
      </c>
      <c r="O216" s="12"/>
      <c r="P216" s="24" t="s">
        <v>2524</v>
      </c>
      <c r="Q216" s="46" t="s">
        <v>30</v>
      </c>
      <c r="R216" s="46" t="s">
        <v>30</v>
      </c>
      <c r="S216" s="46"/>
      <c r="T216" s="24" t="s">
        <v>30</v>
      </c>
      <c r="U216" s="24"/>
    </row>
    <row r="217" spans="1:21">
      <c r="A217" s="152" t="s">
        <v>409</v>
      </c>
      <c r="B217" s="152"/>
      <c r="C217" s="152" t="s">
        <v>413</v>
      </c>
      <c r="D217" s="152" t="s">
        <v>46</v>
      </c>
      <c r="E217" s="152" t="s">
        <v>25</v>
      </c>
      <c r="F217" s="152"/>
      <c r="G217" s="152"/>
      <c r="H217" s="153"/>
      <c r="I217" s="152"/>
      <c r="J217" s="154"/>
      <c r="K217" s="152"/>
      <c r="L217" s="153"/>
      <c r="M217" s="155"/>
      <c r="N217" s="153">
        <v>45901</v>
      </c>
      <c r="O217" s="152"/>
      <c r="P217" s="26" t="s">
        <v>2524</v>
      </c>
      <c r="Q217" s="48" t="s">
        <v>31</v>
      </c>
      <c r="R217" s="48" t="s">
        <v>30</v>
      </c>
      <c r="S217" s="48"/>
      <c r="T217" s="26" t="s">
        <v>30</v>
      </c>
      <c r="U217" s="26"/>
    </row>
    <row r="218" spans="1:21">
      <c r="A218" s="26" t="s">
        <v>2499</v>
      </c>
      <c r="B218" s="26"/>
      <c r="C218" s="26" t="s">
        <v>2502</v>
      </c>
      <c r="D218" s="26" t="s">
        <v>24</v>
      </c>
      <c r="E218" s="26" t="s">
        <v>25</v>
      </c>
      <c r="F218" s="26" t="s">
        <v>87</v>
      </c>
      <c r="G218" s="26"/>
      <c r="H218" s="26"/>
      <c r="I218" s="26" t="s">
        <v>2527</v>
      </c>
      <c r="J218" s="154" t="s">
        <v>27</v>
      </c>
      <c r="K218" s="26"/>
      <c r="L218" s="26"/>
      <c r="M218" s="159" t="str">
        <f>IF(L218="","",EDATE(L218,1))</f>
        <v/>
      </c>
      <c r="N218" s="158">
        <v>46153</v>
      </c>
      <c r="O218" s="26"/>
      <c r="P218" s="26" t="s">
        <v>2524</v>
      </c>
      <c r="Q218" s="48" t="s">
        <v>30</v>
      </c>
      <c r="R218" s="48" t="s">
        <v>30</v>
      </c>
      <c r="S218" s="48"/>
      <c r="T218" s="26" t="s">
        <v>31</v>
      </c>
      <c r="U218" s="26">
        <v>74072.81</v>
      </c>
    </row>
    <row r="219" spans="1:21">
      <c r="A219" s="160" t="s">
        <v>2481</v>
      </c>
      <c r="B219" s="26"/>
      <c r="C219" s="26" t="s">
        <v>2484</v>
      </c>
      <c r="D219" s="26" t="s">
        <v>24</v>
      </c>
      <c r="E219" s="26" t="s">
        <v>25</v>
      </c>
      <c r="F219" s="26" t="s">
        <v>87</v>
      </c>
      <c r="G219" s="26"/>
      <c r="H219" s="26"/>
      <c r="I219" s="26" t="s">
        <v>2527</v>
      </c>
      <c r="J219" s="154" t="s">
        <v>27</v>
      </c>
      <c r="K219" s="26"/>
      <c r="L219" s="26"/>
      <c r="M219" s="159" t="str">
        <f>IF(L219="","",EDATE(L219,1))</f>
        <v/>
      </c>
      <c r="N219" s="158">
        <v>46153</v>
      </c>
      <c r="O219" s="26"/>
      <c r="P219" s="26" t="s">
        <v>2524</v>
      </c>
      <c r="Q219" s="48" t="s">
        <v>30</v>
      </c>
      <c r="R219" s="48" t="s">
        <v>30</v>
      </c>
      <c r="S219" s="48"/>
      <c r="T219" s="26" t="s">
        <v>31</v>
      </c>
      <c r="U219" s="26">
        <v>57356.24</v>
      </c>
    </row>
    <row r="220" spans="1:21">
      <c r="A220" s="26" t="s">
        <v>2465</v>
      </c>
      <c r="B220" s="26"/>
      <c r="C220" s="26" t="s">
        <v>2468</v>
      </c>
      <c r="D220" s="26" t="s">
        <v>24</v>
      </c>
      <c r="E220" s="26" t="s">
        <v>25</v>
      </c>
      <c r="F220" s="26" t="s">
        <v>87</v>
      </c>
      <c r="G220" s="26"/>
      <c r="H220" s="26"/>
      <c r="I220" s="26" t="s">
        <v>2527</v>
      </c>
      <c r="J220" s="154" t="s">
        <v>27</v>
      </c>
      <c r="K220" s="26"/>
      <c r="L220" s="26"/>
      <c r="M220" s="159" t="str">
        <f>IF(L220="","",EDATE(L220,1))</f>
        <v/>
      </c>
      <c r="N220" s="158">
        <v>46155</v>
      </c>
      <c r="O220" s="26"/>
      <c r="P220" s="26" t="s">
        <v>2524</v>
      </c>
      <c r="Q220" s="48" t="s">
        <v>30</v>
      </c>
      <c r="R220" s="48" t="s">
        <v>30</v>
      </c>
      <c r="S220" s="48"/>
      <c r="T220" s="26" t="s">
        <v>31</v>
      </c>
      <c r="U220" s="26">
        <v>22009</v>
      </c>
    </row>
    <row r="221" spans="1:21">
      <c r="A221" s="26" t="s">
        <v>2528</v>
      </c>
      <c r="B221" s="26"/>
      <c r="C221" s="26" t="s">
        <v>2433</v>
      </c>
      <c r="D221" s="26" t="s">
        <v>24</v>
      </c>
      <c r="E221" s="26" t="s">
        <v>25</v>
      </c>
      <c r="F221" s="26" t="s">
        <v>87</v>
      </c>
      <c r="G221" s="26"/>
      <c r="H221" s="26"/>
      <c r="I221" s="26" t="s">
        <v>2527</v>
      </c>
      <c r="J221" s="154" t="s">
        <v>27</v>
      </c>
      <c r="K221" s="26"/>
      <c r="L221" s="26"/>
      <c r="M221" s="159" t="str">
        <f>IF(L221="","",EDATE(L221,1))</f>
        <v/>
      </c>
      <c r="N221" s="158">
        <v>46157</v>
      </c>
      <c r="O221" s="26"/>
      <c r="P221" s="26" t="s">
        <v>2524</v>
      </c>
      <c r="Q221" s="48" t="s">
        <v>30</v>
      </c>
      <c r="R221" s="48" t="s">
        <v>30</v>
      </c>
      <c r="S221" s="48"/>
      <c r="T221" s="26" t="s">
        <v>31</v>
      </c>
      <c r="U221" s="26">
        <v>23040.17</v>
      </c>
    </row>
    <row r="222" spans="1:21">
      <c r="A222" s="26" t="s">
        <v>2446</v>
      </c>
      <c r="B222" s="26"/>
      <c r="C222" s="26" t="s">
        <v>2449</v>
      </c>
      <c r="D222" s="26" t="s">
        <v>24</v>
      </c>
      <c r="E222" s="26" t="s">
        <v>25</v>
      </c>
      <c r="F222" s="26" t="s">
        <v>87</v>
      </c>
      <c r="G222" s="26"/>
      <c r="H222" s="26"/>
      <c r="I222" s="26" t="s">
        <v>2527</v>
      </c>
      <c r="J222" s="154" t="s">
        <v>27</v>
      </c>
      <c r="K222" s="26"/>
      <c r="L222" s="26"/>
      <c r="M222" s="159" t="str">
        <f>IF(L222="","",EDATE(L222,1))</f>
        <v/>
      </c>
      <c r="N222" s="158">
        <v>46157</v>
      </c>
      <c r="O222" s="26"/>
      <c r="P222" s="26" t="s">
        <v>2524</v>
      </c>
      <c r="Q222" s="26" t="s">
        <v>30</v>
      </c>
      <c r="R222" s="26" t="s">
        <v>30</v>
      </c>
      <c r="S222" s="26"/>
      <c r="T222" s="26" t="s">
        <v>31</v>
      </c>
      <c r="U222" s="26">
        <v>21810.27</v>
      </c>
    </row>
    <row r="225" spans="1:1">
      <c r="A225" s="1" t="s">
        <v>415</v>
      </c>
    </row>
    <row r="226" spans="1:1">
      <c r="A226" s="1" t="s">
        <v>416</v>
      </c>
    </row>
  </sheetData>
  <mergeCells count="1">
    <mergeCell ref="A1:N1"/>
  </mergeCells>
  <conditionalFormatting sqref="M4:M222">
    <cfRule type="expression" dxfId="0" priority="1">
      <formula>AND($M4&lt;&gt;"",$M4&lt;TODAY())</formula>
    </cfRule>
  </conditionalFormatting>
  <pageMargins left="0.75" right="0.75" top="1" bottom="1" header="0.5" footer="0.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Listeler!$A$1:$A$4</xm:f>
          </x14:formula1>
          <xm:sqref>E102:E217</xm:sqref>
        </x14:dataValidation>
        <x14:dataValidation type="list" allowBlank="1" showInputMessage="1" showErrorMessage="1" xr:uid="{616DD439-6645-4080-8057-BE6C73967147}">
          <x14:formula1>
            <xm:f>Listeler!$A$1:$A$4</xm:f>
          </x14:formula1>
          <xm:sqref>E6:E101</xm:sqref>
        </x14:dataValidation>
        <x14:dataValidation type="list" allowBlank="1" xr:uid="{00000000-0002-0000-0000-000001000000}">
          <x14:formula1>
            <xm:f>Listeler!$B$1:$B$2</xm:f>
          </x14:formula1>
          <xm:sqref>F4:G222 I4:I222</xm:sqref>
        </x14:dataValidation>
        <x14:dataValidation type="list" allowBlank="1" showInputMessage="1" showErrorMessage="1" xr:uid="{6A8E1D88-A3D7-40BE-A742-0702962E0FFA}">
          <x14:formula1>
            <xm:f>Listeler!$B$1:$B$3</xm:f>
          </x14:formula1>
          <xm:sqref>J4:J222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6E21-14E1-4C8C-98B0-08E5717A13B8}">
  <dimension ref="A1:F29"/>
  <sheetViews>
    <sheetView workbookViewId="0">
      <selection activeCell="D22" sqref="D22"/>
    </sheetView>
  </sheetViews>
  <sheetFormatPr defaultRowHeight="15"/>
  <cols>
    <col min="1" max="1" width="35.28515625" customWidth="1"/>
    <col min="2" max="2" width="28.7109375" customWidth="1"/>
    <col min="3" max="3" width="47.7109375" customWidth="1"/>
    <col min="4" max="4" width="24.5703125" customWidth="1"/>
  </cols>
  <sheetData>
    <row r="1" spans="1:4" ht="21">
      <c r="A1" s="163" t="s">
        <v>417</v>
      </c>
      <c r="B1" s="164"/>
      <c r="C1" s="164"/>
      <c r="D1" s="165"/>
    </row>
    <row r="2" spans="1:4">
      <c r="A2" s="61" t="s">
        <v>418</v>
      </c>
      <c r="B2" s="61" t="s">
        <v>419</v>
      </c>
      <c r="C2" s="61" t="s">
        <v>420</v>
      </c>
      <c r="D2" s="61" t="s">
        <v>421</v>
      </c>
    </row>
    <row r="3" spans="1:4">
      <c r="A3" s="62" t="s">
        <v>114</v>
      </c>
      <c r="B3" s="63" t="s">
        <v>54</v>
      </c>
      <c r="C3" s="64" t="s">
        <v>422</v>
      </c>
      <c r="D3" s="64" t="s">
        <v>423</v>
      </c>
    </row>
    <row r="4" spans="1:4">
      <c r="A4" s="166" t="s">
        <v>424</v>
      </c>
      <c r="B4" s="166"/>
      <c r="C4" s="166"/>
      <c r="D4" s="166"/>
    </row>
    <row r="5" spans="1:4">
      <c r="A5" s="65"/>
      <c r="B5" s="65"/>
      <c r="C5" s="65"/>
      <c r="D5" s="65"/>
    </row>
    <row r="6" spans="1:4">
      <c r="A6" s="65"/>
      <c r="B6" s="65"/>
      <c r="C6" s="65"/>
      <c r="D6" s="65"/>
    </row>
    <row r="7" spans="1:4">
      <c r="A7" s="65"/>
      <c r="B7" s="65"/>
      <c r="C7" s="65"/>
      <c r="D7" s="65"/>
    </row>
    <row r="8" spans="1:4">
      <c r="A8" s="65"/>
      <c r="B8" s="65"/>
      <c r="C8" s="65"/>
      <c r="D8" s="65"/>
    </row>
    <row r="9" spans="1:4" ht="21">
      <c r="A9" s="163" t="s">
        <v>425</v>
      </c>
      <c r="B9" s="164"/>
      <c r="C9" s="164"/>
      <c r="D9" s="165"/>
    </row>
    <row r="10" spans="1:4">
      <c r="A10" s="61" t="s">
        <v>418</v>
      </c>
      <c r="B10" s="61" t="s">
        <v>419</v>
      </c>
      <c r="C10" s="61" t="s">
        <v>420</v>
      </c>
      <c r="D10" s="61" t="s">
        <v>421</v>
      </c>
    </row>
    <row r="11" spans="1:4">
      <c r="A11" s="66" t="s">
        <v>32</v>
      </c>
      <c r="B11" s="67" t="s">
        <v>36</v>
      </c>
      <c r="C11" s="64" t="s">
        <v>426</v>
      </c>
      <c r="D11" s="64" t="s">
        <v>427</v>
      </c>
    </row>
    <row r="12" spans="1:4">
      <c r="A12" s="66" t="s">
        <v>307</v>
      </c>
      <c r="B12" s="67" t="s">
        <v>36</v>
      </c>
      <c r="C12" s="64" t="s">
        <v>426</v>
      </c>
      <c r="D12" s="64" t="s">
        <v>428</v>
      </c>
    </row>
    <row r="13" spans="1:4">
      <c r="A13" s="66" t="s">
        <v>91</v>
      </c>
      <c r="B13" s="67" t="s">
        <v>27</v>
      </c>
      <c r="C13" s="64" t="s">
        <v>429</v>
      </c>
      <c r="D13" s="64" t="s">
        <v>430</v>
      </c>
    </row>
    <row r="14" spans="1:4">
      <c r="A14" s="132" t="s">
        <v>48</v>
      </c>
      <c r="B14" s="134" t="s">
        <v>54</v>
      </c>
      <c r="C14" s="137" t="s">
        <v>431</v>
      </c>
      <c r="D14" s="137" t="s">
        <v>432</v>
      </c>
    </row>
    <row r="15" spans="1:4">
      <c r="A15" s="133" t="s">
        <v>48</v>
      </c>
      <c r="B15" s="136" t="s">
        <v>36</v>
      </c>
      <c r="C15" s="140" t="s">
        <v>431</v>
      </c>
      <c r="D15" s="139" t="s">
        <v>433</v>
      </c>
    </row>
    <row r="16" spans="1:4">
      <c r="A16" s="141" t="s">
        <v>72</v>
      </c>
      <c r="B16" s="135" t="s">
        <v>27</v>
      </c>
      <c r="C16" s="138" t="s">
        <v>434</v>
      </c>
      <c r="D16" s="138" t="s">
        <v>435</v>
      </c>
    </row>
    <row r="17" spans="1:6" s="59" customFormat="1" ht="17.25" customHeight="1">
      <c r="A17" s="167" t="s">
        <v>436</v>
      </c>
      <c r="B17" s="168"/>
      <c r="C17" s="168"/>
      <c r="D17" s="169"/>
    </row>
    <row r="18" spans="1:6" ht="17.25" customHeight="1">
      <c r="A18" s="59"/>
      <c r="B18" s="60"/>
      <c r="C18" s="60"/>
      <c r="D18" s="60"/>
    </row>
    <row r="19" spans="1:6" ht="20.25">
      <c r="A19" s="80" t="s">
        <v>437</v>
      </c>
      <c r="B19" s="78"/>
      <c r="C19" s="79"/>
      <c r="D19" s="83"/>
    </row>
    <row r="20" spans="1:6">
      <c r="A20" s="81" t="s">
        <v>418</v>
      </c>
      <c r="B20" s="81" t="s">
        <v>419</v>
      </c>
      <c r="C20" s="82" t="s">
        <v>420</v>
      </c>
      <c r="D20" s="85" t="s">
        <v>421</v>
      </c>
      <c r="E20" s="59"/>
      <c r="F20" s="59"/>
    </row>
    <row r="21" spans="1:6">
      <c r="A21" s="86" t="s">
        <v>2618</v>
      </c>
      <c r="B21" s="136" t="s">
        <v>36</v>
      </c>
      <c r="C21" s="84" t="s">
        <v>2619</v>
      </c>
      <c r="D21" s="177">
        <v>8972.16</v>
      </c>
    </row>
    <row r="22" spans="1:6">
      <c r="A22" s="184" t="s">
        <v>2620</v>
      </c>
      <c r="B22" s="136" t="s">
        <v>36</v>
      </c>
      <c r="C22" s="1" t="s">
        <v>2619</v>
      </c>
      <c r="D22" s="175">
        <v>5715.8</v>
      </c>
    </row>
    <row r="23" spans="1:6">
      <c r="A23" s="176" t="s">
        <v>2621</v>
      </c>
      <c r="B23" s="136" t="s">
        <v>36</v>
      </c>
      <c r="C23" s="1" t="s">
        <v>2619</v>
      </c>
      <c r="D23" s="175">
        <v>2043.33</v>
      </c>
    </row>
    <row r="24" spans="1:6">
      <c r="A24" s="176" t="s">
        <v>2622</v>
      </c>
      <c r="B24" s="136" t="s">
        <v>36</v>
      </c>
      <c r="C24" s="1" t="s">
        <v>2619</v>
      </c>
      <c r="D24" s="175">
        <v>732.08</v>
      </c>
    </row>
    <row r="25" spans="1:6">
      <c r="A25" s="176" t="s">
        <v>2623</v>
      </c>
      <c r="B25" s="136" t="s">
        <v>36</v>
      </c>
      <c r="C25" s="1" t="s">
        <v>2619</v>
      </c>
      <c r="D25" s="175">
        <v>8405.7099999999991</v>
      </c>
    </row>
    <row r="26" spans="1:6">
      <c r="A26" s="176" t="s">
        <v>2624</v>
      </c>
      <c r="B26" s="185" t="s">
        <v>219</v>
      </c>
      <c r="C26" s="1" t="s">
        <v>2619</v>
      </c>
      <c r="D26" s="175">
        <v>1471.38</v>
      </c>
    </row>
    <row r="27" spans="1:6">
      <c r="A27" s="176" t="s">
        <v>2625</v>
      </c>
      <c r="B27" s="136" t="s">
        <v>36</v>
      </c>
      <c r="C27" s="1" t="s">
        <v>426</v>
      </c>
      <c r="D27" s="175">
        <v>6992.16</v>
      </c>
    </row>
    <row r="28" spans="1:6">
      <c r="A28" s="183" t="str">
        <f>"MAYIS AYI ONLİNE CİRO: ₺ "&amp;FIXED(D29,2)&amp;"  İNDİRİMİN CİROYA ETKİSİ: %"&amp;FIXED(SUM(D21:D27)/D29*100,2)</f>
        <v>MAYIS AYI ONLİNE CİRO: ₺ 743.495,03  İNDİRİMİN CİROYA ETKİSİ: %4,62</v>
      </c>
      <c r="B28" s="183"/>
      <c r="C28" s="183"/>
      <c r="D28" s="183"/>
    </row>
    <row r="29" spans="1:6">
      <c r="C29" s="174" t="s">
        <v>2626</v>
      </c>
      <c r="D29" s="175">
        <v>743495.03</v>
      </c>
    </row>
  </sheetData>
  <mergeCells count="5">
    <mergeCell ref="A1:D1"/>
    <mergeCell ref="A4:D4"/>
    <mergeCell ref="A9:D9"/>
    <mergeCell ref="A17:D17"/>
    <mergeCell ref="A28:D28"/>
  </mergeCells>
  <conditionalFormatting sqref="B26">
    <cfRule type="expression" dxfId="1" priority="1">
      <formula>$M$73&lt;TODAY()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CD9765-DBEA-4CB2-8D38-7F61D080B9FD}">
          <x14:formula1>
            <xm:f>Listeler!$B$1:$B$3</xm:f>
          </x14:formula1>
          <xm:sqref>B26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445E-00B8-4A37-BF34-21256CA94AE4}">
  <dimension ref="A1:F22"/>
  <sheetViews>
    <sheetView workbookViewId="0">
      <selection activeCell="A20" sqref="A20:F20"/>
    </sheetView>
  </sheetViews>
  <sheetFormatPr defaultRowHeight="15"/>
  <cols>
    <col min="1" max="1" width="11.140625" customWidth="1"/>
    <col min="2" max="2" width="26.7109375" customWidth="1"/>
    <col min="3" max="3" width="34.28515625" customWidth="1"/>
    <col min="4" max="4" width="22.85546875" customWidth="1"/>
    <col min="5" max="6" width="24.7109375" customWidth="1"/>
  </cols>
  <sheetData>
    <row r="1" spans="1:6" ht="21">
      <c r="A1" s="170" t="s">
        <v>425</v>
      </c>
      <c r="B1" s="170"/>
      <c r="C1" s="170"/>
      <c r="D1" s="170"/>
      <c r="E1" s="170"/>
      <c r="F1" s="170"/>
    </row>
    <row r="2" spans="1:6">
      <c r="A2" s="50" t="s">
        <v>438</v>
      </c>
      <c r="B2" s="49" t="s">
        <v>418</v>
      </c>
      <c r="C2" s="49" t="s">
        <v>439</v>
      </c>
      <c r="D2" s="49" t="s">
        <v>440</v>
      </c>
      <c r="E2" s="49" t="s">
        <v>441</v>
      </c>
      <c r="F2" s="51" t="s">
        <v>442</v>
      </c>
    </row>
    <row r="3" spans="1:6">
      <c r="A3" s="55">
        <v>1180</v>
      </c>
      <c r="B3" s="52" t="s">
        <v>32</v>
      </c>
      <c r="C3" s="53" t="s">
        <v>426</v>
      </c>
      <c r="D3" s="53" t="s">
        <v>443</v>
      </c>
      <c r="E3" s="53" t="s">
        <v>427</v>
      </c>
      <c r="F3" s="57" t="s">
        <v>444</v>
      </c>
    </row>
    <row r="4" spans="1:6">
      <c r="A4" s="56">
        <v>1179</v>
      </c>
      <c r="B4" s="54" t="s">
        <v>307</v>
      </c>
      <c r="C4" t="s">
        <v>426</v>
      </c>
      <c r="D4" t="s">
        <v>445</v>
      </c>
      <c r="E4" t="s">
        <v>428</v>
      </c>
      <c r="F4" s="58" t="s">
        <v>446</v>
      </c>
    </row>
    <row r="5" spans="1:6">
      <c r="A5" s="56">
        <v>1174</v>
      </c>
      <c r="B5" s="54" t="s">
        <v>91</v>
      </c>
      <c r="C5" t="s">
        <v>429</v>
      </c>
      <c r="D5" t="s">
        <v>447</v>
      </c>
      <c r="E5" t="s">
        <v>430</v>
      </c>
      <c r="F5" s="58" t="s">
        <v>448</v>
      </c>
    </row>
    <row r="6" spans="1:6">
      <c r="A6" s="56">
        <v>1165</v>
      </c>
      <c r="B6" s="54" t="s">
        <v>48</v>
      </c>
      <c r="C6" t="s">
        <v>431</v>
      </c>
      <c r="D6" t="s">
        <v>449</v>
      </c>
      <c r="E6" t="s">
        <v>432</v>
      </c>
      <c r="F6" s="58" t="s">
        <v>450</v>
      </c>
    </row>
    <row r="7" spans="1:6">
      <c r="A7" s="56">
        <v>1182</v>
      </c>
      <c r="B7" s="54" t="s">
        <v>72</v>
      </c>
      <c r="C7" t="s">
        <v>451</v>
      </c>
      <c r="D7" t="s">
        <v>452</v>
      </c>
      <c r="E7" t="s">
        <v>435</v>
      </c>
      <c r="F7" s="58" t="s">
        <v>452</v>
      </c>
    </row>
    <row r="8" spans="1:6">
      <c r="A8" s="145">
        <v>1190</v>
      </c>
      <c r="B8" s="142" t="s">
        <v>48</v>
      </c>
      <c r="C8" s="143" t="s">
        <v>431</v>
      </c>
      <c r="D8" s="143" t="s">
        <v>453</v>
      </c>
      <c r="E8" s="143" t="s">
        <v>433</v>
      </c>
      <c r="F8" s="144" t="s">
        <v>454</v>
      </c>
    </row>
    <row r="9" spans="1:6">
      <c r="A9" s="171" t="s">
        <v>455</v>
      </c>
      <c r="B9" s="172"/>
      <c r="C9" s="173"/>
      <c r="D9" s="173"/>
      <c r="E9" s="173"/>
      <c r="F9" s="173"/>
    </row>
    <row r="11" spans="1:6" ht="21">
      <c r="A11" s="88" t="s">
        <v>437</v>
      </c>
    </row>
    <row r="12" spans="1:6">
      <c r="A12" s="89" t="s">
        <v>438</v>
      </c>
      <c r="B12" s="87" t="s">
        <v>418</v>
      </c>
      <c r="C12" s="87" t="s">
        <v>439</v>
      </c>
      <c r="D12" s="87" t="s">
        <v>440</v>
      </c>
      <c r="E12" s="87" t="s">
        <v>441</v>
      </c>
      <c r="F12" s="90" t="s">
        <v>442</v>
      </c>
    </row>
    <row r="13" spans="1:6">
      <c r="A13" s="91">
        <v>1218</v>
      </c>
      <c r="B13" s="92" t="s">
        <v>32</v>
      </c>
      <c r="C13" s="79" t="s">
        <v>2619</v>
      </c>
      <c r="D13" s="178">
        <f>F13+E13</f>
        <v>89721.8</v>
      </c>
      <c r="E13" s="178">
        <v>8972.16</v>
      </c>
      <c r="F13" s="179">
        <v>80749.64</v>
      </c>
    </row>
    <row r="14" spans="1:6">
      <c r="A14" s="180">
        <v>1213</v>
      </c>
      <c r="B14" s="180" t="s">
        <v>307</v>
      </c>
      <c r="C14" s="181" t="s">
        <v>2619</v>
      </c>
      <c r="D14" s="182">
        <f>F14+E14</f>
        <v>57158.57</v>
      </c>
      <c r="E14" s="182">
        <v>5715.8</v>
      </c>
      <c r="F14" s="182">
        <v>51442.77</v>
      </c>
    </row>
    <row r="15" spans="1:6">
      <c r="A15" s="54">
        <v>1209</v>
      </c>
      <c r="B15" s="54" t="s">
        <v>83</v>
      </c>
      <c r="C15" t="s">
        <v>2619</v>
      </c>
      <c r="D15" s="175">
        <f>F15+E15</f>
        <v>21233.339999999997</v>
      </c>
      <c r="E15" s="175">
        <v>2043.33</v>
      </c>
      <c r="F15" s="175">
        <v>19190.009999999998</v>
      </c>
    </row>
    <row r="16" spans="1:6">
      <c r="A16" s="54">
        <v>1203</v>
      </c>
      <c r="B16" s="54" t="s">
        <v>43</v>
      </c>
      <c r="C16" t="s">
        <v>2619</v>
      </c>
      <c r="D16" s="175">
        <f>F16+E16</f>
        <v>8120.76</v>
      </c>
      <c r="E16" s="175">
        <v>732.08</v>
      </c>
      <c r="F16" s="175">
        <v>7388.68</v>
      </c>
    </row>
    <row r="17" spans="1:6">
      <c r="A17" s="54">
        <v>1201</v>
      </c>
      <c r="B17" s="54" t="s">
        <v>32</v>
      </c>
      <c r="C17" t="s">
        <v>2619</v>
      </c>
      <c r="D17" s="175">
        <f>F17+E17</f>
        <v>84057.31</v>
      </c>
      <c r="E17" s="175">
        <v>8405.7099999999991</v>
      </c>
      <c r="F17" s="175">
        <v>75651.600000000006</v>
      </c>
    </row>
    <row r="18" spans="1:6">
      <c r="A18" s="54">
        <v>1200</v>
      </c>
      <c r="B18" s="54" t="s">
        <v>274</v>
      </c>
      <c r="C18" t="s">
        <v>2619</v>
      </c>
      <c r="D18" s="175">
        <f>F18+E18</f>
        <v>29427.61</v>
      </c>
      <c r="E18" s="175">
        <v>1471.38</v>
      </c>
      <c r="F18" s="175">
        <v>27956.23</v>
      </c>
    </row>
    <row r="19" spans="1:6">
      <c r="A19" s="54">
        <v>1194</v>
      </c>
      <c r="B19" s="54" t="s">
        <v>32</v>
      </c>
      <c r="C19" t="s">
        <v>426</v>
      </c>
      <c r="D19" s="175">
        <f>F19+E19</f>
        <v>69921.600000000006</v>
      </c>
      <c r="E19" s="175">
        <v>6992.16</v>
      </c>
      <c r="F19" s="175">
        <v>62929.440000000002</v>
      </c>
    </row>
    <row r="20" spans="1:6">
      <c r="A20" s="183" t="str">
        <f>"MAYIS AYI ONLİNE CİRO: ₺ "&amp;FIXED(B22,2)&amp;"  KAMPANYALI SİPARİŞLERİN CİROYA ETKİSİ: %"&amp;FIXED(SUM(D13:D19)/B22*100,2)&amp;" (₺ "&amp;FIXED(SUM(D13:D19),2)&amp;")"</f>
        <v>MAYIS AYI ONLİNE CİRO: ₺ 743.495,03  KAMPANYALI SİPARİŞLERİN CİROYA ETKİSİ: %48,37 (₺ 359.640,99)</v>
      </c>
      <c r="B20" s="183"/>
      <c r="C20" s="183"/>
      <c r="D20" s="183"/>
      <c r="E20" s="183"/>
      <c r="F20" s="183"/>
    </row>
    <row r="22" spans="1:6">
      <c r="A22" t="s">
        <v>2626</v>
      </c>
      <c r="B22" s="175">
        <v>743495.03</v>
      </c>
    </row>
  </sheetData>
  <mergeCells count="3">
    <mergeCell ref="A1:F1"/>
    <mergeCell ref="A9:F9"/>
    <mergeCell ref="A20:F2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70CD-860D-4D34-B117-91432892FBD9}">
  <dimension ref="A1:CE528"/>
  <sheetViews>
    <sheetView topLeftCell="A362" zoomScale="25" workbookViewId="0">
      <selection activeCell="BZ421" sqref="BZ421:CA421"/>
    </sheetView>
  </sheetViews>
  <sheetFormatPr defaultRowHeight="15"/>
  <sheetData>
    <row r="1" spans="1:83">
      <c r="A1" t="s">
        <v>456</v>
      </c>
      <c r="B1" t="s">
        <v>457</v>
      </c>
      <c r="C1" t="s">
        <v>458</v>
      </c>
      <c r="D1" t="s">
        <v>459</v>
      </c>
      <c r="E1" t="s">
        <v>8</v>
      </c>
      <c r="F1" t="s">
        <v>460</v>
      </c>
      <c r="G1" t="s">
        <v>461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  <c r="M1" t="s">
        <v>467</v>
      </c>
      <c r="N1" t="s">
        <v>468</v>
      </c>
      <c r="O1" t="s">
        <v>469</v>
      </c>
      <c r="P1" t="s">
        <v>470</v>
      </c>
      <c r="Q1" t="s">
        <v>471</v>
      </c>
      <c r="R1" t="s">
        <v>472</v>
      </c>
      <c r="S1" t="s">
        <v>473</v>
      </c>
      <c r="T1" t="s">
        <v>474</v>
      </c>
      <c r="U1" t="s">
        <v>475</v>
      </c>
      <c r="V1" t="s">
        <v>476</v>
      </c>
      <c r="W1" t="s">
        <v>477</v>
      </c>
      <c r="X1" t="s">
        <v>478</v>
      </c>
      <c r="Y1" t="s">
        <v>479</v>
      </c>
      <c r="Z1" t="s">
        <v>480</v>
      </c>
      <c r="AA1" t="s">
        <v>481</v>
      </c>
      <c r="AB1" t="s">
        <v>482</v>
      </c>
      <c r="AC1" t="s">
        <v>483</v>
      </c>
      <c r="AD1" t="s">
        <v>484</v>
      </c>
      <c r="AE1" t="s">
        <v>485</v>
      </c>
      <c r="AF1" t="s">
        <v>486</v>
      </c>
      <c r="AG1" t="s">
        <v>487</v>
      </c>
      <c r="AH1" t="s">
        <v>488</v>
      </c>
      <c r="AI1" t="s">
        <v>489</v>
      </c>
      <c r="AJ1" t="s">
        <v>490</v>
      </c>
      <c r="AK1" t="s">
        <v>491</v>
      </c>
      <c r="AL1" t="s">
        <v>492</v>
      </c>
      <c r="AM1" t="s">
        <v>493</v>
      </c>
      <c r="AN1" t="s">
        <v>494</v>
      </c>
      <c r="AO1" t="s">
        <v>495</v>
      </c>
      <c r="AP1" t="s">
        <v>496</v>
      </c>
      <c r="AQ1" t="s">
        <v>497</v>
      </c>
      <c r="AR1" t="s">
        <v>498</v>
      </c>
      <c r="AS1" t="s">
        <v>499</v>
      </c>
      <c r="AT1" t="s">
        <v>500</v>
      </c>
      <c r="AU1" t="s">
        <v>501</v>
      </c>
      <c r="AV1" t="s">
        <v>502</v>
      </c>
      <c r="AW1" t="s">
        <v>503</v>
      </c>
      <c r="AX1" t="s">
        <v>504</v>
      </c>
      <c r="AY1" t="s">
        <v>505</v>
      </c>
      <c r="AZ1" t="s">
        <v>506</v>
      </c>
      <c r="BA1" t="s">
        <v>507</v>
      </c>
      <c r="BB1" t="s">
        <v>508</v>
      </c>
      <c r="BC1" t="s">
        <v>509</v>
      </c>
      <c r="BD1" t="s">
        <v>510</v>
      </c>
      <c r="BE1" t="s">
        <v>20</v>
      </c>
      <c r="BF1" t="s">
        <v>511</v>
      </c>
      <c r="BG1" t="s">
        <v>512</v>
      </c>
      <c r="BH1" t="s">
        <v>513</v>
      </c>
      <c r="BI1" t="s">
        <v>514</v>
      </c>
      <c r="BJ1" t="s">
        <v>515</v>
      </c>
      <c r="BK1" t="s">
        <v>516</v>
      </c>
      <c r="BL1" t="s">
        <v>517</v>
      </c>
      <c r="BM1" t="s">
        <v>518</v>
      </c>
      <c r="BN1" t="s">
        <v>519</v>
      </c>
      <c r="BO1" t="s">
        <v>520</v>
      </c>
      <c r="BP1" t="s">
        <v>521</v>
      </c>
      <c r="BQ1" t="s">
        <v>522</v>
      </c>
      <c r="BR1" t="s">
        <v>16</v>
      </c>
      <c r="BS1" t="s">
        <v>523</v>
      </c>
      <c r="BT1" t="s">
        <v>524</v>
      </c>
      <c r="BU1" t="s">
        <v>525</v>
      </c>
      <c r="BV1" t="s">
        <v>526</v>
      </c>
      <c r="BW1" t="s">
        <v>527</v>
      </c>
      <c r="BX1" t="s">
        <v>528</v>
      </c>
      <c r="BY1" t="s">
        <v>529</v>
      </c>
      <c r="BZ1" t="s">
        <v>530</v>
      </c>
      <c r="CA1" t="s">
        <v>531</v>
      </c>
      <c r="CB1" t="s">
        <v>532</v>
      </c>
      <c r="CC1" t="s">
        <v>533</v>
      </c>
      <c r="CD1" t="s">
        <v>534</v>
      </c>
      <c r="CE1" t="s">
        <v>535</v>
      </c>
    </row>
    <row r="2" spans="1:83">
      <c r="A2" t="s">
        <v>2529</v>
      </c>
      <c r="B2" t="s">
        <v>2530</v>
      </c>
      <c r="C2" t="s">
        <v>725</v>
      </c>
      <c r="D2" t="s">
        <v>2531</v>
      </c>
      <c r="E2" t="s">
        <v>2532</v>
      </c>
      <c r="F2">
        <v>2</v>
      </c>
      <c r="G2" t="s">
        <v>539</v>
      </c>
      <c r="H2" t="s">
        <v>2533</v>
      </c>
      <c r="I2" t="s">
        <v>541</v>
      </c>
      <c r="J2" t="s">
        <v>542</v>
      </c>
      <c r="K2">
        <v>6025.53</v>
      </c>
      <c r="L2">
        <v>800</v>
      </c>
      <c r="M2" t="s">
        <v>543</v>
      </c>
      <c r="N2" t="s">
        <v>544</v>
      </c>
      <c r="O2">
        <v>192.99</v>
      </c>
      <c r="P2">
        <v>6825.53</v>
      </c>
      <c r="R2" t="s">
        <v>2534</v>
      </c>
      <c r="S2">
        <v>7</v>
      </c>
      <c r="T2" t="s">
        <v>818</v>
      </c>
      <c r="U2" t="s">
        <v>547</v>
      </c>
      <c r="V2">
        <v>860.79</v>
      </c>
      <c r="W2">
        <v>860.79</v>
      </c>
      <c r="Z2" t="s">
        <v>819</v>
      </c>
      <c r="AA2" t="s">
        <v>549</v>
      </c>
      <c r="AB2" t="s">
        <v>541</v>
      </c>
      <c r="AC2" t="s">
        <v>550</v>
      </c>
      <c r="AD2" t="s">
        <v>551</v>
      </c>
      <c r="AE2" t="s">
        <v>2530</v>
      </c>
      <c r="AF2" t="s">
        <v>2535</v>
      </c>
      <c r="AH2" t="s">
        <v>2536</v>
      </c>
      <c r="AI2" t="s">
        <v>670</v>
      </c>
      <c r="AK2" t="s">
        <v>556</v>
      </c>
      <c r="AM2" t="s">
        <v>2537</v>
      </c>
      <c r="AN2" t="s">
        <v>558</v>
      </c>
      <c r="AO2" t="s">
        <v>2538</v>
      </c>
      <c r="AP2" t="s">
        <v>2539</v>
      </c>
      <c r="AQ2" t="s">
        <v>2540</v>
      </c>
      <c r="AR2" t="s">
        <v>549</v>
      </c>
      <c r="AS2" t="s">
        <v>2530</v>
      </c>
      <c r="AT2" t="s">
        <v>2535</v>
      </c>
      <c r="AV2" t="s">
        <v>2536</v>
      </c>
      <c r="AW2" t="s">
        <v>670</v>
      </c>
      <c r="AY2" t="s">
        <v>556</v>
      </c>
      <c r="BA2" t="s">
        <v>2537</v>
      </c>
      <c r="BB2" t="s">
        <v>558</v>
      </c>
      <c r="BC2" t="s">
        <v>2538</v>
      </c>
      <c r="BD2" t="s">
        <v>549</v>
      </c>
      <c r="BH2" t="s">
        <v>560</v>
      </c>
      <c r="BI2" t="s">
        <v>561</v>
      </c>
      <c r="BK2" t="s">
        <v>607</v>
      </c>
      <c r="BL2" t="s">
        <v>562</v>
      </c>
      <c r="BM2" t="s">
        <v>2541</v>
      </c>
      <c r="BN2">
        <v>1</v>
      </c>
      <c r="BO2">
        <v>59.66</v>
      </c>
      <c r="BP2">
        <v>20</v>
      </c>
      <c r="BQ2">
        <v>133.33000000000001</v>
      </c>
      <c r="BR2" t="s">
        <v>549</v>
      </c>
    </row>
    <row r="3" spans="1:83">
      <c r="A3" t="s">
        <v>2542</v>
      </c>
      <c r="B3" t="s">
        <v>2530</v>
      </c>
      <c r="C3" t="s">
        <v>725</v>
      </c>
      <c r="D3" t="s">
        <v>2531</v>
      </c>
      <c r="E3" t="s">
        <v>2532</v>
      </c>
      <c r="F3">
        <v>1</v>
      </c>
      <c r="G3" t="s">
        <v>539</v>
      </c>
      <c r="H3" t="s">
        <v>2543</v>
      </c>
      <c r="I3" t="s">
        <v>541</v>
      </c>
      <c r="J3" t="s">
        <v>542</v>
      </c>
      <c r="K3">
        <v>8686.64</v>
      </c>
      <c r="L3">
        <v>800</v>
      </c>
      <c r="M3" t="s">
        <v>543</v>
      </c>
      <c r="N3" t="s">
        <v>544</v>
      </c>
      <c r="O3">
        <v>219.34</v>
      </c>
      <c r="P3">
        <v>9486.64</v>
      </c>
      <c r="R3" t="s">
        <v>2544</v>
      </c>
      <c r="S3">
        <v>2</v>
      </c>
      <c r="T3" t="s">
        <v>946</v>
      </c>
      <c r="U3" t="s">
        <v>547</v>
      </c>
      <c r="V3">
        <v>765.9</v>
      </c>
      <c r="W3">
        <v>765.9</v>
      </c>
      <c r="Z3" t="s">
        <v>947</v>
      </c>
      <c r="AA3" t="s">
        <v>549</v>
      </c>
      <c r="AB3" t="s">
        <v>541</v>
      </c>
      <c r="AC3" t="s">
        <v>550</v>
      </c>
      <c r="AD3" t="s">
        <v>551</v>
      </c>
      <c r="AE3" t="s">
        <v>2530</v>
      </c>
      <c r="AF3" t="s">
        <v>2535</v>
      </c>
      <c r="AH3" t="s">
        <v>2536</v>
      </c>
      <c r="AI3" t="s">
        <v>670</v>
      </c>
      <c r="AK3" t="s">
        <v>556</v>
      </c>
      <c r="AM3" t="s">
        <v>2537</v>
      </c>
      <c r="AN3" t="s">
        <v>558</v>
      </c>
      <c r="AO3" t="s">
        <v>2538</v>
      </c>
      <c r="AP3" t="s">
        <v>2539</v>
      </c>
      <c r="AQ3" t="s">
        <v>2540</v>
      </c>
      <c r="AR3" t="s">
        <v>549</v>
      </c>
      <c r="AS3" t="s">
        <v>2530</v>
      </c>
      <c r="AT3" t="s">
        <v>2535</v>
      </c>
      <c r="AV3" t="s">
        <v>2536</v>
      </c>
      <c r="AW3" t="s">
        <v>670</v>
      </c>
      <c r="AY3" t="s">
        <v>556</v>
      </c>
      <c r="BA3" t="s">
        <v>2537</v>
      </c>
      <c r="BB3" t="s">
        <v>558</v>
      </c>
      <c r="BC3" t="s">
        <v>2538</v>
      </c>
      <c r="BD3" t="s">
        <v>549</v>
      </c>
      <c r="BH3" t="s">
        <v>560</v>
      </c>
      <c r="BI3" t="s">
        <v>561</v>
      </c>
      <c r="BK3" t="s">
        <v>607</v>
      </c>
      <c r="BL3" t="s">
        <v>562</v>
      </c>
      <c r="BM3" t="s">
        <v>2545</v>
      </c>
      <c r="BN3">
        <v>1</v>
      </c>
      <c r="BO3">
        <v>86.01</v>
      </c>
      <c r="BP3">
        <v>20</v>
      </c>
      <c r="BQ3">
        <v>133.33000000000001</v>
      </c>
      <c r="BR3" t="s">
        <v>549</v>
      </c>
    </row>
    <row r="4" spans="1:83">
      <c r="A4" t="s">
        <v>2542</v>
      </c>
      <c r="B4" t="s">
        <v>2530</v>
      </c>
      <c r="C4" t="s">
        <v>725</v>
      </c>
      <c r="D4" t="s">
        <v>2531</v>
      </c>
      <c r="E4" t="s">
        <v>2532</v>
      </c>
      <c r="F4">
        <v>1</v>
      </c>
      <c r="H4" t="s">
        <v>2543</v>
      </c>
      <c r="R4" t="s">
        <v>2544</v>
      </c>
      <c r="S4">
        <v>1</v>
      </c>
      <c r="T4" t="s">
        <v>1287</v>
      </c>
      <c r="U4" t="s">
        <v>547</v>
      </c>
      <c r="V4">
        <v>2038.94</v>
      </c>
      <c r="W4">
        <v>2038.94</v>
      </c>
      <c r="Z4" t="s">
        <v>1288</v>
      </c>
      <c r="AA4" t="s">
        <v>549</v>
      </c>
      <c r="AB4" t="s">
        <v>541</v>
      </c>
      <c r="AC4" t="s">
        <v>550</v>
      </c>
      <c r="AD4" t="s">
        <v>551</v>
      </c>
      <c r="BR4" t="s">
        <v>549</v>
      </c>
    </row>
    <row r="5" spans="1:83">
      <c r="A5" t="s">
        <v>2542</v>
      </c>
      <c r="B5" t="s">
        <v>2530</v>
      </c>
      <c r="C5" t="s">
        <v>725</v>
      </c>
      <c r="D5" t="s">
        <v>2531</v>
      </c>
      <c r="E5" t="s">
        <v>2532</v>
      </c>
      <c r="F5">
        <v>1</v>
      </c>
      <c r="H5" t="s">
        <v>2543</v>
      </c>
      <c r="R5" t="s">
        <v>2544</v>
      </c>
      <c r="S5">
        <v>1</v>
      </c>
      <c r="T5" t="s">
        <v>2011</v>
      </c>
      <c r="U5" t="s">
        <v>547</v>
      </c>
      <c r="V5">
        <v>856.91</v>
      </c>
      <c r="W5">
        <v>856.91</v>
      </c>
      <c r="Z5" t="s">
        <v>2012</v>
      </c>
      <c r="AA5" t="s">
        <v>549</v>
      </c>
      <c r="AB5" t="s">
        <v>541</v>
      </c>
      <c r="AC5" t="s">
        <v>550</v>
      </c>
      <c r="AD5" t="s">
        <v>551</v>
      </c>
      <c r="BR5" t="s">
        <v>549</v>
      </c>
    </row>
    <row r="6" spans="1:83">
      <c r="A6" t="s">
        <v>2542</v>
      </c>
      <c r="B6" t="s">
        <v>2530</v>
      </c>
      <c r="C6" t="s">
        <v>725</v>
      </c>
      <c r="D6" t="s">
        <v>2531</v>
      </c>
      <c r="E6" t="s">
        <v>2532</v>
      </c>
      <c r="F6">
        <v>1</v>
      </c>
      <c r="H6" t="s">
        <v>2543</v>
      </c>
      <c r="R6" t="s">
        <v>2544</v>
      </c>
      <c r="S6">
        <v>1</v>
      </c>
      <c r="T6" t="s">
        <v>869</v>
      </c>
      <c r="U6" t="s">
        <v>547</v>
      </c>
      <c r="V6">
        <v>4258.99</v>
      </c>
      <c r="W6">
        <v>4258.99</v>
      </c>
      <c r="Z6" t="s">
        <v>870</v>
      </c>
      <c r="AA6" t="s">
        <v>549</v>
      </c>
      <c r="AB6" t="s">
        <v>541</v>
      </c>
      <c r="AC6" t="s">
        <v>550</v>
      </c>
      <c r="AD6" t="s">
        <v>551</v>
      </c>
      <c r="BR6" t="s">
        <v>549</v>
      </c>
    </row>
    <row r="7" spans="1:83">
      <c r="A7" t="s">
        <v>2546</v>
      </c>
      <c r="B7" t="s">
        <v>32</v>
      </c>
      <c r="C7" t="s">
        <v>567</v>
      </c>
      <c r="D7" t="s">
        <v>568</v>
      </c>
      <c r="E7" t="s">
        <v>34</v>
      </c>
      <c r="F7">
        <v>12</v>
      </c>
      <c r="G7" t="s">
        <v>539</v>
      </c>
      <c r="H7" t="s">
        <v>2547</v>
      </c>
      <c r="I7" t="s">
        <v>541</v>
      </c>
      <c r="J7" t="s">
        <v>542</v>
      </c>
      <c r="K7">
        <v>89721.8</v>
      </c>
      <c r="L7">
        <v>0</v>
      </c>
      <c r="M7" t="s">
        <v>570</v>
      </c>
      <c r="N7" t="s">
        <v>544</v>
      </c>
      <c r="O7">
        <v>799.5</v>
      </c>
      <c r="P7">
        <v>80749.64</v>
      </c>
      <c r="Q7">
        <v>8972.16</v>
      </c>
      <c r="R7" t="s">
        <v>2548</v>
      </c>
      <c r="S7">
        <v>4</v>
      </c>
      <c r="T7" t="s">
        <v>572</v>
      </c>
      <c r="U7" t="s">
        <v>547</v>
      </c>
      <c r="V7">
        <v>5485.04</v>
      </c>
      <c r="W7">
        <v>6094.49</v>
      </c>
      <c r="Z7" t="s">
        <v>573</v>
      </c>
      <c r="AA7" t="s">
        <v>549</v>
      </c>
      <c r="AB7" t="s">
        <v>541</v>
      </c>
      <c r="AC7" t="s">
        <v>550</v>
      </c>
      <c r="AD7" t="s">
        <v>551</v>
      </c>
      <c r="AE7" t="s">
        <v>32</v>
      </c>
      <c r="AF7" t="s">
        <v>574</v>
      </c>
      <c r="AG7" t="s">
        <v>575</v>
      </c>
      <c r="AH7" t="s">
        <v>576</v>
      </c>
      <c r="AI7" t="s">
        <v>577</v>
      </c>
      <c r="AJ7" t="s">
        <v>578</v>
      </c>
      <c r="AK7" t="s">
        <v>556</v>
      </c>
      <c r="AM7" t="s">
        <v>579</v>
      </c>
      <c r="AN7" t="s">
        <v>558</v>
      </c>
      <c r="AO7" t="s">
        <v>33</v>
      </c>
      <c r="AP7" t="s">
        <v>580</v>
      </c>
      <c r="AQ7" t="s">
        <v>581</v>
      </c>
      <c r="AR7" t="s">
        <v>582</v>
      </c>
      <c r="AS7" t="s">
        <v>32</v>
      </c>
      <c r="AT7" t="s">
        <v>574</v>
      </c>
      <c r="AU7" t="s">
        <v>575</v>
      </c>
      <c r="AV7" t="s">
        <v>576</v>
      </c>
      <c r="AW7" t="s">
        <v>577</v>
      </c>
      <c r="AX7" t="s">
        <v>578</v>
      </c>
      <c r="AY7" t="s">
        <v>556</v>
      </c>
      <c r="BA7" t="s">
        <v>579</v>
      </c>
      <c r="BB7" t="s">
        <v>558</v>
      </c>
      <c r="BC7" t="s">
        <v>33</v>
      </c>
      <c r="BD7" t="s">
        <v>582</v>
      </c>
      <c r="BH7" t="s">
        <v>560</v>
      </c>
      <c r="BI7" t="s">
        <v>561</v>
      </c>
      <c r="BK7" t="s">
        <v>607</v>
      </c>
      <c r="BL7" t="s">
        <v>562</v>
      </c>
      <c r="BM7" t="s">
        <v>2549</v>
      </c>
      <c r="BN7">
        <v>1</v>
      </c>
      <c r="BO7">
        <v>799.5</v>
      </c>
      <c r="BR7" t="s">
        <v>549</v>
      </c>
    </row>
    <row r="8" spans="1:83">
      <c r="A8" t="s">
        <v>2546</v>
      </c>
      <c r="B8" t="s">
        <v>32</v>
      </c>
      <c r="C8" t="s">
        <v>567</v>
      </c>
      <c r="D8" t="s">
        <v>568</v>
      </c>
      <c r="E8" t="s">
        <v>34</v>
      </c>
      <c r="F8">
        <v>12</v>
      </c>
      <c r="H8" t="s">
        <v>2547</v>
      </c>
      <c r="R8" t="s">
        <v>2548</v>
      </c>
      <c r="S8">
        <v>2</v>
      </c>
      <c r="T8" t="s">
        <v>584</v>
      </c>
      <c r="U8" t="s">
        <v>547</v>
      </c>
      <c r="V8">
        <v>2896.89</v>
      </c>
      <c r="W8">
        <v>3218.77</v>
      </c>
      <c r="Z8" t="s">
        <v>585</v>
      </c>
      <c r="AA8" t="s">
        <v>549</v>
      </c>
      <c r="AB8" t="s">
        <v>541</v>
      </c>
      <c r="AC8" t="s">
        <v>550</v>
      </c>
      <c r="AD8" t="s">
        <v>551</v>
      </c>
      <c r="BR8" t="s">
        <v>549</v>
      </c>
    </row>
    <row r="9" spans="1:83">
      <c r="A9" t="s">
        <v>2546</v>
      </c>
      <c r="B9" t="s">
        <v>32</v>
      </c>
      <c r="C9" t="s">
        <v>567</v>
      </c>
      <c r="D9" t="s">
        <v>568</v>
      </c>
      <c r="E9" t="s">
        <v>34</v>
      </c>
      <c r="F9">
        <v>12</v>
      </c>
      <c r="H9" t="s">
        <v>2547</v>
      </c>
      <c r="R9" t="s">
        <v>2548</v>
      </c>
      <c r="S9">
        <v>6</v>
      </c>
      <c r="T9" t="s">
        <v>586</v>
      </c>
      <c r="U9" t="s">
        <v>547</v>
      </c>
      <c r="V9">
        <v>5146.7700000000004</v>
      </c>
      <c r="W9">
        <v>5718.63</v>
      </c>
      <c r="Z9" t="s">
        <v>587</v>
      </c>
      <c r="AA9" t="s">
        <v>549</v>
      </c>
      <c r="AB9" t="s">
        <v>541</v>
      </c>
      <c r="AC9" t="s">
        <v>550</v>
      </c>
      <c r="AD9" t="s">
        <v>551</v>
      </c>
      <c r="BR9" t="s">
        <v>549</v>
      </c>
    </row>
    <row r="10" spans="1:83">
      <c r="A10" t="s">
        <v>2546</v>
      </c>
      <c r="B10" t="s">
        <v>32</v>
      </c>
      <c r="C10" t="s">
        <v>567</v>
      </c>
      <c r="D10" t="s">
        <v>568</v>
      </c>
      <c r="E10" t="s">
        <v>34</v>
      </c>
      <c r="F10">
        <v>12</v>
      </c>
      <c r="H10" t="s">
        <v>2547</v>
      </c>
      <c r="R10" t="s">
        <v>2548</v>
      </c>
      <c r="S10">
        <v>4</v>
      </c>
      <c r="T10" t="s">
        <v>588</v>
      </c>
      <c r="U10" t="s">
        <v>547</v>
      </c>
      <c r="V10">
        <v>5533.77</v>
      </c>
      <c r="W10">
        <v>6148.63</v>
      </c>
      <c r="Z10" t="s">
        <v>589</v>
      </c>
      <c r="AA10" t="s">
        <v>549</v>
      </c>
      <c r="AB10" t="s">
        <v>541</v>
      </c>
      <c r="AC10" t="s">
        <v>550</v>
      </c>
      <c r="AD10" t="s">
        <v>551</v>
      </c>
      <c r="BR10" t="s">
        <v>549</v>
      </c>
    </row>
    <row r="11" spans="1:83">
      <c r="A11" t="s">
        <v>2550</v>
      </c>
      <c r="B11" t="s">
        <v>60</v>
      </c>
      <c r="C11" t="s">
        <v>809</v>
      </c>
      <c r="D11" t="s">
        <v>810</v>
      </c>
      <c r="E11" t="s">
        <v>62</v>
      </c>
      <c r="F11">
        <v>4</v>
      </c>
      <c r="G11" t="s">
        <v>539</v>
      </c>
      <c r="H11" t="s">
        <v>2551</v>
      </c>
      <c r="I11" t="s">
        <v>541</v>
      </c>
      <c r="J11" t="s">
        <v>542</v>
      </c>
      <c r="K11">
        <v>11867.26</v>
      </c>
      <c r="L11">
        <v>800</v>
      </c>
      <c r="M11" t="s">
        <v>543</v>
      </c>
      <c r="N11" t="s">
        <v>544</v>
      </c>
      <c r="O11">
        <v>250.83</v>
      </c>
      <c r="P11">
        <v>12667.26</v>
      </c>
      <c r="R11" t="s">
        <v>2552</v>
      </c>
      <c r="S11">
        <v>1</v>
      </c>
      <c r="T11" t="s">
        <v>586</v>
      </c>
      <c r="U11" t="s">
        <v>547</v>
      </c>
      <c r="V11">
        <v>5718.63</v>
      </c>
      <c r="W11">
        <v>5718.63</v>
      </c>
      <c r="Z11" t="s">
        <v>587</v>
      </c>
      <c r="AA11" t="s">
        <v>549</v>
      </c>
      <c r="AB11" t="s">
        <v>541</v>
      </c>
      <c r="AC11" t="s">
        <v>550</v>
      </c>
      <c r="AD11" t="s">
        <v>551</v>
      </c>
      <c r="AE11" t="s">
        <v>60</v>
      </c>
      <c r="AF11" t="s">
        <v>2553</v>
      </c>
      <c r="AG11" t="s">
        <v>2554</v>
      </c>
      <c r="AI11" t="s">
        <v>670</v>
      </c>
      <c r="AJ11" t="s">
        <v>814</v>
      </c>
      <c r="AK11" t="s">
        <v>556</v>
      </c>
      <c r="AM11" t="s">
        <v>815</v>
      </c>
      <c r="AN11" t="s">
        <v>558</v>
      </c>
      <c r="AO11" t="s">
        <v>2555</v>
      </c>
      <c r="AP11" t="s">
        <v>549</v>
      </c>
      <c r="AQ11" t="s">
        <v>549</v>
      </c>
      <c r="AR11" t="s">
        <v>816</v>
      </c>
      <c r="AS11" t="s">
        <v>60</v>
      </c>
      <c r="AT11" t="s">
        <v>2553</v>
      </c>
      <c r="AU11" t="s">
        <v>2554</v>
      </c>
      <c r="AW11" t="s">
        <v>670</v>
      </c>
      <c r="AX11" t="s">
        <v>814</v>
      </c>
      <c r="AY11" t="s">
        <v>556</v>
      </c>
      <c r="BA11" t="s">
        <v>815</v>
      </c>
      <c r="BB11" t="s">
        <v>558</v>
      </c>
      <c r="BC11" t="s">
        <v>2555</v>
      </c>
      <c r="BD11" t="s">
        <v>816</v>
      </c>
      <c r="BH11" t="s">
        <v>560</v>
      </c>
      <c r="BI11" t="s">
        <v>561</v>
      </c>
      <c r="BK11" t="s">
        <v>607</v>
      </c>
      <c r="BL11" t="s">
        <v>562</v>
      </c>
      <c r="BM11" t="s">
        <v>2556</v>
      </c>
      <c r="BN11">
        <v>1</v>
      </c>
      <c r="BO11">
        <v>117.5</v>
      </c>
      <c r="BP11">
        <v>20</v>
      </c>
      <c r="BQ11">
        <v>133.33000000000001</v>
      </c>
      <c r="BR11" t="s">
        <v>549</v>
      </c>
    </row>
    <row r="12" spans="1:83">
      <c r="A12" t="s">
        <v>2550</v>
      </c>
      <c r="B12" t="s">
        <v>60</v>
      </c>
      <c r="C12" t="s">
        <v>809</v>
      </c>
      <c r="D12" t="s">
        <v>810</v>
      </c>
      <c r="E12" t="s">
        <v>62</v>
      </c>
      <c r="F12">
        <v>4</v>
      </c>
      <c r="H12" t="s">
        <v>2551</v>
      </c>
      <c r="R12" t="s">
        <v>2552</v>
      </c>
      <c r="S12">
        <v>1</v>
      </c>
      <c r="T12" t="s">
        <v>588</v>
      </c>
      <c r="U12" t="s">
        <v>547</v>
      </c>
      <c r="V12">
        <v>6148.63</v>
      </c>
      <c r="W12">
        <v>6148.63</v>
      </c>
      <c r="Z12" t="s">
        <v>589</v>
      </c>
      <c r="AA12" t="s">
        <v>549</v>
      </c>
      <c r="AB12" t="s">
        <v>541</v>
      </c>
      <c r="AC12" t="s">
        <v>550</v>
      </c>
      <c r="AD12" t="s">
        <v>551</v>
      </c>
      <c r="BR12" t="s">
        <v>549</v>
      </c>
    </row>
    <row r="13" spans="1:83">
      <c r="A13" t="s">
        <v>2557</v>
      </c>
      <c r="B13" t="s">
        <v>56</v>
      </c>
      <c r="C13" t="s">
        <v>794</v>
      </c>
      <c r="D13" t="s">
        <v>795</v>
      </c>
      <c r="E13" t="s">
        <v>58</v>
      </c>
      <c r="F13">
        <v>5</v>
      </c>
      <c r="G13" t="s">
        <v>539</v>
      </c>
      <c r="H13" t="s">
        <v>2558</v>
      </c>
      <c r="I13" t="s">
        <v>541</v>
      </c>
      <c r="J13" t="s">
        <v>542</v>
      </c>
      <c r="K13">
        <v>11565.96</v>
      </c>
      <c r="L13">
        <v>800</v>
      </c>
      <c r="M13" t="s">
        <v>543</v>
      </c>
      <c r="N13" t="s">
        <v>544</v>
      </c>
      <c r="O13">
        <v>247.84</v>
      </c>
      <c r="P13">
        <v>12365.96</v>
      </c>
      <c r="R13" t="s">
        <v>2559</v>
      </c>
      <c r="S13">
        <v>3</v>
      </c>
      <c r="T13" t="s">
        <v>799</v>
      </c>
      <c r="U13" t="s">
        <v>547</v>
      </c>
      <c r="V13">
        <v>3855.32</v>
      </c>
      <c r="W13">
        <v>3855.32</v>
      </c>
      <c r="Z13" t="s">
        <v>800</v>
      </c>
      <c r="AA13" t="s">
        <v>549</v>
      </c>
      <c r="AB13" t="s">
        <v>541</v>
      </c>
      <c r="AC13" t="s">
        <v>550</v>
      </c>
      <c r="AD13" t="s">
        <v>551</v>
      </c>
      <c r="AE13" t="s">
        <v>56</v>
      </c>
      <c r="AF13" t="s">
        <v>801</v>
      </c>
      <c r="AG13" t="s">
        <v>802</v>
      </c>
      <c r="AI13" t="s">
        <v>803</v>
      </c>
      <c r="AJ13" t="s">
        <v>804</v>
      </c>
      <c r="AK13" t="s">
        <v>556</v>
      </c>
      <c r="AM13" t="s">
        <v>805</v>
      </c>
      <c r="AN13" t="s">
        <v>558</v>
      </c>
      <c r="AO13" t="s">
        <v>57</v>
      </c>
      <c r="AP13" t="s">
        <v>549</v>
      </c>
      <c r="AQ13" t="s">
        <v>549</v>
      </c>
      <c r="AR13" t="s">
        <v>806</v>
      </c>
      <c r="AS13" t="s">
        <v>56</v>
      </c>
      <c r="AT13" t="s">
        <v>801</v>
      </c>
      <c r="AU13" t="s">
        <v>802</v>
      </c>
      <c r="AW13" t="s">
        <v>803</v>
      </c>
      <c r="AX13" t="s">
        <v>804</v>
      </c>
      <c r="AY13" t="s">
        <v>556</v>
      </c>
      <c r="BA13" t="s">
        <v>805</v>
      </c>
      <c r="BB13" t="s">
        <v>558</v>
      </c>
      <c r="BC13" t="s">
        <v>57</v>
      </c>
      <c r="BD13" t="s">
        <v>806</v>
      </c>
      <c r="BH13" t="s">
        <v>560</v>
      </c>
      <c r="BI13" t="s">
        <v>561</v>
      </c>
      <c r="BK13" t="s">
        <v>607</v>
      </c>
      <c r="BL13" t="s">
        <v>562</v>
      </c>
      <c r="BM13" t="s">
        <v>2560</v>
      </c>
      <c r="BN13">
        <v>1</v>
      </c>
      <c r="BO13">
        <v>114.51</v>
      </c>
      <c r="BP13">
        <v>20</v>
      </c>
      <c r="BQ13">
        <v>133.33000000000001</v>
      </c>
      <c r="BR13" t="s">
        <v>549</v>
      </c>
    </row>
    <row r="14" spans="1:83">
      <c r="A14" t="s">
        <v>2561</v>
      </c>
      <c r="B14" t="s">
        <v>2562</v>
      </c>
      <c r="C14" t="s">
        <v>2563</v>
      </c>
      <c r="D14" t="s">
        <v>2564</v>
      </c>
      <c r="E14" t="s">
        <v>2565</v>
      </c>
      <c r="F14">
        <v>1</v>
      </c>
      <c r="G14" t="s">
        <v>539</v>
      </c>
      <c r="H14" t="s">
        <v>2566</v>
      </c>
      <c r="I14" t="s">
        <v>541</v>
      </c>
      <c r="J14" t="s">
        <v>542</v>
      </c>
      <c r="K14">
        <v>21652.69</v>
      </c>
      <c r="L14">
        <v>0</v>
      </c>
      <c r="M14" t="s">
        <v>570</v>
      </c>
      <c r="N14" t="s">
        <v>544</v>
      </c>
      <c r="O14">
        <v>214.38</v>
      </c>
      <c r="P14">
        <v>21652.69</v>
      </c>
      <c r="R14" t="s">
        <v>2567</v>
      </c>
      <c r="S14">
        <v>1</v>
      </c>
      <c r="T14" t="s">
        <v>1053</v>
      </c>
      <c r="U14" t="s">
        <v>547</v>
      </c>
      <c r="V14">
        <v>8190.43</v>
      </c>
      <c r="W14">
        <v>8190.43</v>
      </c>
      <c r="Z14" t="s">
        <v>1054</v>
      </c>
      <c r="AA14" t="s">
        <v>549</v>
      </c>
      <c r="AB14" t="s">
        <v>541</v>
      </c>
      <c r="AC14" t="s">
        <v>550</v>
      </c>
      <c r="AD14" t="s">
        <v>551</v>
      </c>
      <c r="AE14" t="s">
        <v>2568</v>
      </c>
      <c r="AF14" t="s">
        <v>2569</v>
      </c>
      <c r="AG14" t="s">
        <v>2570</v>
      </c>
      <c r="AH14" t="s">
        <v>2571</v>
      </c>
      <c r="AI14" t="s">
        <v>554</v>
      </c>
      <c r="AJ14" t="s">
        <v>2572</v>
      </c>
      <c r="AK14" t="s">
        <v>556</v>
      </c>
      <c r="AM14" t="s">
        <v>641</v>
      </c>
      <c r="AN14" t="s">
        <v>558</v>
      </c>
      <c r="AO14" t="s">
        <v>2573</v>
      </c>
      <c r="AP14" t="s">
        <v>2574</v>
      </c>
      <c r="AQ14" t="s">
        <v>2575</v>
      </c>
      <c r="AR14" t="s">
        <v>2576</v>
      </c>
      <c r="AS14" t="s">
        <v>2568</v>
      </c>
      <c r="AT14" t="s">
        <v>2569</v>
      </c>
      <c r="AU14" t="s">
        <v>2570</v>
      </c>
      <c r="AV14" t="s">
        <v>2571</v>
      </c>
      <c r="AW14" t="s">
        <v>554</v>
      </c>
      <c r="AX14" t="s">
        <v>2572</v>
      </c>
      <c r="AY14" t="s">
        <v>556</v>
      </c>
      <c r="BA14" t="s">
        <v>641</v>
      </c>
      <c r="BB14" t="s">
        <v>558</v>
      </c>
      <c r="BC14" t="s">
        <v>2573</v>
      </c>
      <c r="BD14" t="s">
        <v>2576</v>
      </c>
      <c r="BH14" t="s">
        <v>560</v>
      </c>
      <c r="BI14" t="s">
        <v>561</v>
      </c>
      <c r="BK14" t="s">
        <v>607</v>
      </c>
      <c r="BL14" t="s">
        <v>562</v>
      </c>
      <c r="BM14" t="s">
        <v>2577</v>
      </c>
      <c r="BN14">
        <v>1</v>
      </c>
      <c r="BO14">
        <v>214.38</v>
      </c>
      <c r="BR14" t="s">
        <v>549</v>
      </c>
    </row>
    <row r="15" spans="1:83">
      <c r="A15" t="s">
        <v>2561</v>
      </c>
      <c r="B15" t="s">
        <v>2562</v>
      </c>
      <c r="C15" t="s">
        <v>2563</v>
      </c>
      <c r="D15" t="s">
        <v>2564</v>
      </c>
      <c r="E15" t="s">
        <v>2565</v>
      </c>
      <c r="F15">
        <v>1</v>
      </c>
      <c r="H15" t="s">
        <v>2566</v>
      </c>
      <c r="R15" t="s">
        <v>2567</v>
      </c>
      <c r="S15">
        <v>1</v>
      </c>
      <c r="T15" t="s">
        <v>837</v>
      </c>
      <c r="U15" t="s">
        <v>547</v>
      </c>
      <c r="V15">
        <v>2090.64</v>
      </c>
      <c r="W15">
        <v>2090.64</v>
      </c>
      <c r="Z15" t="s">
        <v>838</v>
      </c>
      <c r="AA15" t="s">
        <v>549</v>
      </c>
      <c r="AB15" t="s">
        <v>541</v>
      </c>
      <c r="AC15" t="s">
        <v>550</v>
      </c>
      <c r="AD15" t="s">
        <v>551</v>
      </c>
      <c r="BR15" t="s">
        <v>549</v>
      </c>
    </row>
    <row r="16" spans="1:83">
      <c r="A16" t="s">
        <v>2561</v>
      </c>
      <c r="B16" t="s">
        <v>2562</v>
      </c>
      <c r="C16" t="s">
        <v>2563</v>
      </c>
      <c r="D16" t="s">
        <v>2564</v>
      </c>
      <c r="E16" t="s">
        <v>2565</v>
      </c>
      <c r="F16">
        <v>1</v>
      </c>
      <c r="H16" t="s">
        <v>2566</v>
      </c>
      <c r="R16" t="s">
        <v>2567</v>
      </c>
      <c r="S16">
        <v>1</v>
      </c>
      <c r="T16" t="s">
        <v>588</v>
      </c>
      <c r="U16" t="s">
        <v>547</v>
      </c>
      <c r="V16">
        <v>6148.63</v>
      </c>
      <c r="W16">
        <v>6148.63</v>
      </c>
      <c r="Z16" t="s">
        <v>589</v>
      </c>
      <c r="AA16" t="s">
        <v>549</v>
      </c>
      <c r="AB16" t="s">
        <v>541</v>
      </c>
      <c r="AC16" t="s">
        <v>550</v>
      </c>
      <c r="AD16" t="s">
        <v>551</v>
      </c>
      <c r="BR16" t="s">
        <v>549</v>
      </c>
    </row>
    <row r="17" spans="1:70">
      <c r="A17" t="s">
        <v>2561</v>
      </c>
      <c r="B17" t="s">
        <v>2562</v>
      </c>
      <c r="C17" t="s">
        <v>2563</v>
      </c>
      <c r="D17" t="s">
        <v>2564</v>
      </c>
      <c r="E17" t="s">
        <v>2565</v>
      </c>
      <c r="F17">
        <v>1</v>
      </c>
      <c r="H17" t="s">
        <v>2566</v>
      </c>
      <c r="R17" t="s">
        <v>2567</v>
      </c>
      <c r="S17">
        <v>1</v>
      </c>
      <c r="T17" t="s">
        <v>609</v>
      </c>
      <c r="U17" t="s">
        <v>547</v>
      </c>
      <c r="V17">
        <v>5222.99</v>
      </c>
      <c r="W17">
        <v>5222.99</v>
      </c>
      <c r="Z17" t="s">
        <v>610</v>
      </c>
      <c r="AA17" t="s">
        <v>549</v>
      </c>
      <c r="AB17" t="s">
        <v>541</v>
      </c>
      <c r="AC17" t="s">
        <v>550</v>
      </c>
      <c r="AD17" t="s">
        <v>551</v>
      </c>
      <c r="BR17" t="s">
        <v>549</v>
      </c>
    </row>
    <row r="18" spans="1:70">
      <c r="A18" t="s">
        <v>2578</v>
      </c>
      <c r="B18" t="s">
        <v>2579</v>
      </c>
      <c r="C18" t="s">
        <v>2580</v>
      </c>
      <c r="D18" t="s">
        <v>2581</v>
      </c>
      <c r="E18" t="s">
        <v>2582</v>
      </c>
      <c r="F18">
        <v>1</v>
      </c>
      <c r="G18" t="s">
        <v>539</v>
      </c>
      <c r="H18" t="s">
        <v>2583</v>
      </c>
      <c r="I18" t="s">
        <v>541</v>
      </c>
      <c r="J18" t="s">
        <v>542</v>
      </c>
      <c r="K18">
        <v>44369.56</v>
      </c>
      <c r="L18">
        <v>0</v>
      </c>
      <c r="M18" t="s">
        <v>570</v>
      </c>
      <c r="N18" t="s">
        <v>544</v>
      </c>
      <c r="O18">
        <v>439.3</v>
      </c>
      <c r="P18">
        <v>44369.56</v>
      </c>
      <c r="R18" t="s">
        <v>2584</v>
      </c>
      <c r="S18">
        <v>1</v>
      </c>
      <c r="T18" t="s">
        <v>2585</v>
      </c>
      <c r="U18" t="s">
        <v>547</v>
      </c>
      <c r="V18">
        <v>3011.87</v>
      </c>
      <c r="W18">
        <v>3011.87</v>
      </c>
      <c r="Z18" t="s">
        <v>2586</v>
      </c>
      <c r="AA18" t="s">
        <v>549</v>
      </c>
      <c r="AB18" t="s">
        <v>541</v>
      </c>
      <c r="AC18" t="s">
        <v>550</v>
      </c>
      <c r="AD18" t="s">
        <v>551</v>
      </c>
      <c r="AE18" t="s">
        <v>2579</v>
      </c>
      <c r="AF18" t="s">
        <v>2587</v>
      </c>
      <c r="AG18" t="s">
        <v>2588</v>
      </c>
      <c r="AI18" t="s">
        <v>601</v>
      </c>
      <c r="AJ18" t="s">
        <v>2589</v>
      </c>
      <c r="AK18" t="s">
        <v>556</v>
      </c>
      <c r="AM18" t="s">
        <v>2590</v>
      </c>
      <c r="AN18" t="s">
        <v>558</v>
      </c>
      <c r="AO18" t="s">
        <v>2591</v>
      </c>
      <c r="AP18" t="s">
        <v>549</v>
      </c>
      <c r="AQ18" t="s">
        <v>549</v>
      </c>
      <c r="AR18" t="s">
        <v>2592</v>
      </c>
      <c r="AS18" t="s">
        <v>2579</v>
      </c>
      <c r="AT18" t="s">
        <v>2587</v>
      </c>
      <c r="AU18" t="s">
        <v>2588</v>
      </c>
      <c r="AW18" t="s">
        <v>601</v>
      </c>
      <c r="AX18" t="s">
        <v>2589</v>
      </c>
      <c r="AY18" t="s">
        <v>556</v>
      </c>
      <c r="BA18" t="s">
        <v>2590</v>
      </c>
      <c r="BB18" t="s">
        <v>558</v>
      </c>
      <c r="BC18" t="s">
        <v>2591</v>
      </c>
      <c r="BD18" t="s">
        <v>2592</v>
      </c>
      <c r="BH18" t="s">
        <v>560</v>
      </c>
      <c r="BI18" t="s">
        <v>561</v>
      </c>
      <c r="BK18" t="s">
        <v>607</v>
      </c>
      <c r="BL18" t="s">
        <v>562</v>
      </c>
      <c r="BM18" t="s">
        <v>2593</v>
      </c>
      <c r="BN18">
        <v>1</v>
      </c>
      <c r="BO18">
        <v>439.3</v>
      </c>
      <c r="BR18" t="s">
        <v>549</v>
      </c>
    </row>
    <row r="19" spans="1:70">
      <c r="A19" t="s">
        <v>2578</v>
      </c>
      <c r="B19" t="s">
        <v>2579</v>
      </c>
      <c r="C19" t="s">
        <v>2580</v>
      </c>
      <c r="D19" t="s">
        <v>2581</v>
      </c>
      <c r="E19" t="s">
        <v>2582</v>
      </c>
      <c r="F19">
        <v>1</v>
      </c>
      <c r="H19" t="s">
        <v>2583</v>
      </c>
      <c r="R19" t="s">
        <v>2584</v>
      </c>
      <c r="S19">
        <v>1</v>
      </c>
      <c r="T19" t="s">
        <v>2594</v>
      </c>
      <c r="U19" t="s">
        <v>547</v>
      </c>
      <c r="V19">
        <v>3651.45</v>
      </c>
      <c r="W19">
        <v>3651.45</v>
      </c>
      <c r="Z19" t="s">
        <v>2595</v>
      </c>
      <c r="AA19" t="s">
        <v>549</v>
      </c>
      <c r="AB19" t="s">
        <v>541</v>
      </c>
      <c r="AC19" t="s">
        <v>550</v>
      </c>
      <c r="AD19" t="s">
        <v>551</v>
      </c>
      <c r="BR19" t="s">
        <v>549</v>
      </c>
    </row>
    <row r="20" spans="1:70">
      <c r="A20" t="s">
        <v>2578</v>
      </c>
      <c r="B20" t="s">
        <v>2579</v>
      </c>
      <c r="C20" t="s">
        <v>2580</v>
      </c>
      <c r="D20" t="s">
        <v>2581</v>
      </c>
      <c r="E20" t="s">
        <v>2582</v>
      </c>
      <c r="F20">
        <v>1</v>
      </c>
      <c r="H20" t="s">
        <v>2583</v>
      </c>
      <c r="R20" t="s">
        <v>2584</v>
      </c>
      <c r="S20">
        <v>1</v>
      </c>
      <c r="T20" t="s">
        <v>2514</v>
      </c>
      <c r="U20" t="s">
        <v>547</v>
      </c>
      <c r="V20">
        <v>2166.86</v>
      </c>
      <c r="W20">
        <v>2166.86</v>
      </c>
      <c r="Z20" t="s">
        <v>1399</v>
      </c>
      <c r="AA20" t="s">
        <v>549</v>
      </c>
      <c r="AB20" t="s">
        <v>541</v>
      </c>
      <c r="AC20" t="s">
        <v>550</v>
      </c>
      <c r="AD20" t="s">
        <v>551</v>
      </c>
      <c r="BR20" t="s">
        <v>549</v>
      </c>
    </row>
    <row r="21" spans="1:70">
      <c r="A21" t="s">
        <v>2578</v>
      </c>
      <c r="B21" t="s">
        <v>2579</v>
      </c>
      <c r="C21" t="s">
        <v>2580</v>
      </c>
      <c r="D21" t="s">
        <v>2581</v>
      </c>
      <c r="E21" t="s">
        <v>2582</v>
      </c>
      <c r="F21">
        <v>1</v>
      </c>
      <c r="H21" t="s">
        <v>2583</v>
      </c>
      <c r="R21" t="s">
        <v>2584</v>
      </c>
      <c r="S21">
        <v>1</v>
      </c>
      <c r="T21" t="s">
        <v>630</v>
      </c>
      <c r="U21" t="s">
        <v>547</v>
      </c>
      <c r="V21">
        <v>3431.4</v>
      </c>
      <c r="W21">
        <v>3431.4</v>
      </c>
      <c r="Z21" t="s">
        <v>631</v>
      </c>
      <c r="AA21" t="s">
        <v>549</v>
      </c>
      <c r="AB21" t="s">
        <v>541</v>
      </c>
      <c r="AC21" t="s">
        <v>550</v>
      </c>
      <c r="AD21" t="s">
        <v>551</v>
      </c>
      <c r="BR21" t="s">
        <v>549</v>
      </c>
    </row>
    <row r="22" spans="1:70">
      <c r="A22" t="s">
        <v>2578</v>
      </c>
      <c r="B22" t="s">
        <v>2579</v>
      </c>
      <c r="C22" t="s">
        <v>2580</v>
      </c>
      <c r="D22" t="s">
        <v>2581</v>
      </c>
      <c r="E22" t="s">
        <v>2582</v>
      </c>
      <c r="F22">
        <v>1</v>
      </c>
      <c r="H22" t="s">
        <v>2583</v>
      </c>
      <c r="R22" t="s">
        <v>2584</v>
      </c>
      <c r="S22">
        <v>1</v>
      </c>
      <c r="T22" t="s">
        <v>595</v>
      </c>
      <c r="U22" t="s">
        <v>547</v>
      </c>
      <c r="V22">
        <v>7418.61</v>
      </c>
      <c r="W22">
        <v>7418.61</v>
      </c>
      <c r="Z22" t="s">
        <v>596</v>
      </c>
      <c r="AA22" t="s">
        <v>549</v>
      </c>
      <c r="AB22" t="s">
        <v>541</v>
      </c>
      <c r="AC22" t="s">
        <v>550</v>
      </c>
      <c r="AD22" t="s">
        <v>551</v>
      </c>
      <c r="BR22" t="s">
        <v>549</v>
      </c>
    </row>
    <row r="23" spans="1:70">
      <c r="A23" t="s">
        <v>2578</v>
      </c>
      <c r="B23" t="s">
        <v>2579</v>
      </c>
      <c r="C23" t="s">
        <v>2580</v>
      </c>
      <c r="D23" t="s">
        <v>2581</v>
      </c>
      <c r="E23" t="s">
        <v>2582</v>
      </c>
      <c r="F23">
        <v>1</v>
      </c>
      <c r="H23" t="s">
        <v>2583</v>
      </c>
      <c r="R23" t="s">
        <v>2584</v>
      </c>
      <c r="S23">
        <v>1</v>
      </c>
      <c r="T23" t="s">
        <v>1268</v>
      </c>
      <c r="U23" t="s">
        <v>547</v>
      </c>
      <c r="V23">
        <v>2409.38</v>
      </c>
      <c r="W23">
        <v>2409.38</v>
      </c>
      <c r="Z23" t="s">
        <v>1269</v>
      </c>
      <c r="AA23" t="s">
        <v>549</v>
      </c>
      <c r="AB23" t="s">
        <v>541</v>
      </c>
      <c r="AC23" t="s">
        <v>550</v>
      </c>
      <c r="AD23" t="s">
        <v>551</v>
      </c>
      <c r="BR23" t="s">
        <v>549</v>
      </c>
    </row>
    <row r="24" spans="1:70">
      <c r="A24" t="s">
        <v>2578</v>
      </c>
      <c r="B24" t="s">
        <v>2579</v>
      </c>
      <c r="C24" t="s">
        <v>2580</v>
      </c>
      <c r="D24" t="s">
        <v>2581</v>
      </c>
      <c r="E24" t="s">
        <v>2582</v>
      </c>
      <c r="F24">
        <v>1</v>
      </c>
      <c r="H24" t="s">
        <v>2583</v>
      </c>
      <c r="R24" t="s">
        <v>2584</v>
      </c>
      <c r="S24">
        <v>1</v>
      </c>
      <c r="T24" t="s">
        <v>588</v>
      </c>
      <c r="U24" t="s">
        <v>547</v>
      </c>
      <c r="V24">
        <v>6148.63</v>
      </c>
      <c r="W24">
        <v>6148.63</v>
      </c>
      <c r="Z24" t="s">
        <v>589</v>
      </c>
      <c r="AA24" t="s">
        <v>549</v>
      </c>
      <c r="AB24" t="s">
        <v>541</v>
      </c>
      <c r="AC24" t="s">
        <v>550</v>
      </c>
      <c r="AD24" t="s">
        <v>551</v>
      </c>
      <c r="BR24" t="s">
        <v>549</v>
      </c>
    </row>
    <row r="25" spans="1:70">
      <c r="A25" t="s">
        <v>2578</v>
      </c>
      <c r="B25" t="s">
        <v>2579</v>
      </c>
      <c r="C25" t="s">
        <v>2580</v>
      </c>
      <c r="D25" t="s">
        <v>2581</v>
      </c>
      <c r="E25" t="s">
        <v>2582</v>
      </c>
      <c r="F25">
        <v>1</v>
      </c>
      <c r="H25" t="s">
        <v>2583</v>
      </c>
      <c r="R25" t="s">
        <v>2584</v>
      </c>
      <c r="S25">
        <v>1</v>
      </c>
      <c r="T25" t="s">
        <v>1213</v>
      </c>
      <c r="U25" t="s">
        <v>547</v>
      </c>
      <c r="V25">
        <v>3464</v>
      </c>
      <c r="W25">
        <v>3464</v>
      </c>
      <c r="Z25" t="s">
        <v>1214</v>
      </c>
      <c r="AA25" t="s">
        <v>549</v>
      </c>
      <c r="AB25" t="s">
        <v>541</v>
      </c>
      <c r="AC25" t="s">
        <v>550</v>
      </c>
      <c r="AD25" t="s">
        <v>551</v>
      </c>
      <c r="BR25" t="s">
        <v>549</v>
      </c>
    </row>
    <row r="26" spans="1:70">
      <c r="A26" t="s">
        <v>2578</v>
      </c>
      <c r="B26" t="s">
        <v>2579</v>
      </c>
      <c r="C26" t="s">
        <v>2580</v>
      </c>
      <c r="D26" t="s">
        <v>2581</v>
      </c>
      <c r="E26" t="s">
        <v>2582</v>
      </c>
      <c r="F26">
        <v>1</v>
      </c>
      <c r="H26" t="s">
        <v>2583</v>
      </c>
      <c r="R26" t="s">
        <v>2584</v>
      </c>
      <c r="S26">
        <v>1</v>
      </c>
      <c r="T26" t="s">
        <v>846</v>
      </c>
      <c r="U26" t="s">
        <v>547</v>
      </c>
      <c r="V26">
        <v>3464</v>
      </c>
      <c r="W26">
        <v>3464</v>
      </c>
      <c r="Z26" t="s">
        <v>847</v>
      </c>
      <c r="AA26" t="s">
        <v>549</v>
      </c>
      <c r="AB26" t="s">
        <v>541</v>
      </c>
      <c r="AC26" t="s">
        <v>550</v>
      </c>
      <c r="AD26" t="s">
        <v>551</v>
      </c>
      <c r="BR26" t="s">
        <v>549</v>
      </c>
    </row>
    <row r="27" spans="1:70">
      <c r="A27" t="s">
        <v>2578</v>
      </c>
      <c r="B27" t="s">
        <v>2579</v>
      </c>
      <c r="C27" t="s">
        <v>2580</v>
      </c>
      <c r="D27" t="s">
        <v>2581</v>
      </c>
      <c r="E27" t="s">
        <v>2582</v>
      </c>
      <c r="F27">
        <v>1</v>
      </c>
      <c r="H27" t="s">
        <v>2583</v>
      </c>
      <c r="R27" t="s">
        <v>2584</v>
      </c>
      <c r="S27">
        <v>1</v>
      </c>
      <c r="T27" t="s">
        <v>2596</v>
      </c>
      <c r="U27" t="s">
        <v>547</v>
      </c>
      <c r="V27">
        <v>9203.36</v>
      </c>
      <c r="W27">
        <v>9203.36</v>
      </c>
      <c r="Z27" t="s">
        <v>2597</v>
      </c>
      <c r="AA27" t="s">
        <v>549</v>
      </c>
      <c r="AB27" t="s">
        <v>541</v>
      </c>
      <c r="AC27" t="s">
        <v>550</v>
      </c>
      <c r="AD27" t="s">
        <v>551</v>
      </c>
      <c r="BR27" t="s">
        <v>549</v>
      </c>
    </row>
    <row r="28" spans="1:70">
      <c r="A28" t="s">
        <v>2598</v>
      </c>
      <c r="B28" t="s">
        <v>307</v>
      </c>
      <c r="C28" t="s">
        <v>883</v>
      </c>
      <c r="D28" t="s">
        <v>884</v>
      </c>
      <c r="E28" t="s">
        <v>309</v>
      </c>
      <c r="F28">
        <v>4</v>
      </c>
      <c r="G28" t="s">
        <v>539</v>
      </c>
      <c r="H28" t="s">
        <v>2599</v>
      </c>
      <c r="I28" t="s">
        <v>541</v>
      </c>
      <c r="J28" t="s">
        <v>542</v>
      </c>
      <c r="K28">
        <v>57158.57</v>
      </c>
      <c r="L28">
        <v>0</v>
      </c>
      <c r="M28" t="s">
        <v>570</v>
      </c>
      <c r="N28" t="s">
        <v>544</v>
      </c>
      <c r="O28">
        <v>509.33</v>
      </c>
      <c r="P28">
        <v>51442.77</v>
      </c>
      <c r="Q28">
        <v>5715.8</v>
      </c>
      <c r="R28" t="s">
        <v>2600</v>
      </c>
      <c r="S28">
        <v>15</v>
      </c>
      <c r="T28" t="s">
        <v>704</v>
      </c>
      <c r="U28" t="s">
        <v>547</v>
      </c>
      <c r="V28">
        <v>3034.83</v>
      </c>
      <c r="W28">
        <v>3372.03</v>
      </c>
      <c r="Z28" t="s">
        <v>705</v>
      </c>
      <c r="AA28" t="s">
        <v>549</v>
      </c>
      <c r="AB28" t="s">
        <v>541</v>
      </c>
      <c r="AC28" t="s">
        <v>550</v>
      </c>
      <c r="AD28" t="s">
        <v>551</v>
      </c>
      <c r="AE28" t="s">
        <v>307</v>
      </c>
      <c r="AF28" t="s">
        <v>2601</v>
      </c>
      <c r="AH28" t="s">
        <v>2344</v>
      </c>
      <c r="AI28" t="s">
        <v>688</v>
      </c>
      <c r="AJ28" t="s">
        <v>776</v>
      </c>
      <c r="AK28" t="s">
        <v>556</v>
      </c>
      <c r="AM28" t="s">
        <v>777</v>
      </c>
      <c r="AN28" t="s">
        <v>558</v>
      </c>
      <c r="AO28" t="s">
        <v>308</v>
      </c>
      <c r="AP28" t="s">
        <v>888</v>
      </c>
      <c r="AQ28" t="s">
        <v>2345</v>
      </c>
      <c r="AR28" t="s">
        <v>549</v>
      </c>
      <c r="AS28" t="s">
        <v>307</v>
      </c>
      <c r="AT28" t="s">
        <v>2601</v>
      </c>
      <c r="AV28" t="s">
        <v>2344</v>
      </c>
      <c r="AW28" t="s">
        <v>688</v>
      </c>
      <c r="AX28" t="s">
        <v>776</v>
      </c>
      <c r="AY28" t="s">
        <v>556</v>
      </c>
      <c r="BA28" t="s">
        <v>777</v>
      </c>
      <c r="BB28" t="s">
        <v>558</v>
      </c>
      <c r="BC28" t="s">
        <v>308</v>
      </c>
      <c r="BD28" t="s">
        <v>549</v>
      </c>
      <c r="BH28" t="s">
        <v>560</v>
      </c>
      <c r="BI28" t="s">
        <v>561</v>
      </c>
      <c r="BK28" t="s">
        <v>607</v>
      </c>
      <c r="BL28" t="s">
        <v>562</v>
      </c>
      <c r="BM28" t="s">
        <v>2602</v>
      </c>
      <c r="BN28">
        <v>1</v>
      </c>
      <c r="BO28">
        <v>509.33</v>
      </c>
      <c r="BR28" t="s">
        <v>549</v>
      </c>
    </row>
    <row r="29" spans="1:70">
      <c r="A29" t="s">
        <v>2598</v>
      </c>
      <c r="B29" t="s">
        <v>307</v>
      </c>
      <c r="C29" t="s">
        <v>883</v>
      </c>
      <c r="D29" t="s">
        <v>884</v>
      </c>
      <c r="E29" t="s">
        <v>309</v>
      </c>
      <c r="F29">
        <v>4</v>
      </c>
      <c r="H29" t="s">
        <v>2599</v>
      </c>
      <c r="R29" t="s">
        <v>2600</v>
      </c>
      <c r="S29">
        <v>4</v>
      </c>
      <c r="T29" t="s">
        <v>616</v>
      </c>
      <c r="U29" t="s">
        <v>547</v>
      </c>
      <c r="V29">
        <v>1480.08</v>
      </c>
      <c r="W29">
        <v>1644.53</v>
      </c>
      <c r="Z29" t="s">
        <v>890</v>
      </c>
      <c r="AA29" t="s">
        <v>549</v>
      </c>
      <c r="AB29" t="s">
        <v>541</v>
      </c>
      <c r="AC29" t="s">
        <v>550</v>
      </c>
      <c r="AD29" t="s">
        <v>551</v>
      </c>
      <c r="BR29" t="s">
        <v>549</v>
      </c>
    </row>
    <row r="30" spans="1:70">
      <c r="A30" t="s">
        <v>2603</v>
      </c>
      <c r="B30" t="s">
        <v>2604</v>
      </c>
      <c r="C30" t="s">
        <v>662</v>
      </c>
      <c r="D30" t="s">
        <v>1754</v>
      </c>
      <c r="E30" t="s">
        <v>2605</v>
      </c>
      <c r="F30">
        <v>1</v>
      </c>
      <c r="G30" t="s">
        <v>539</v>
      </c>
      <c r="H30" t="s">
        <v>2606</v>
      </c>
      <c r="I30" t="s">
        <v>541</v>
      </c>
      <c r="J30" t="s">
        <v>542</v>
      </c>
      <c r="K30">
        <v>10824.21</v>
      </c>
      <c r="L30">
        <v>800</v>
      </c>
      <c r="M30" t="s">
        <v>543</v>
      </c>
      <c r="N30" t="s">
        <v>544</v>
      </c>
      <c r="O30">
        <v>240.5</v>
      </c>
      <c r="P30">
        <v>11624.21</v>
      </c>
      <c r="R30" t="s">
        <v>2607</v>
      </c>
      <c r="S30">
        <v>1</v>
      </c>
      <c r="T30" t="s">
        <v>628</v>
      </c>
      <c r="U30" t="s">
        <v>547</v>
      </c>
      <c r="V30">
        <v>6491.46</v>
      </c>
      <c r="W30">
        <v>6491.46</v>
      </c>
      <c r="Z30" t="s">
        <v>629</v>
      </c>
      <c r="AA30" t="s">
        <v>549</v>
      </c>
      <c r="AB30" t="s">
        <v>541</v>
      </c>
      <c r="AC30" t="s">
        <v>550</v>
      </c>
      <c r="AD30" t="s">
        <v>551</v>
      </c>
      <c r="AE30" t="s">
        <v>2604</v>
      </c>
      <c r="AF30" t="s">
        <v>2608</v>
      </c>
      <c r="AG30" t="s">
        <v>2609</v>
      </c>
      <c r="AH30" t="s">
        <v>2610</v>
      </c>
      <c r="AI30" t="s">
        <v>577</v>
      </c>
      <c r="AJ30" t="s">
        <v>2611</v>
      </c>
      <c r="AK30" t="s">
        <v>556</v>
      </c>
      <c r="AM30" t="s">
        <v>2612</v>
      </c>
      <c r="AN30" t="s">
        <v>558</v>
      </c>
      <c r="AO30" t="s">
        <v>2613</v>
      </c>
      <c r="AP30" t="s">
        <v>2614</v>
      </c>
      <c r="AQ30" t="s">
        <v>2615</v>
      </c>
      <c r="AR30" t="s">
        <v>2616</v>
      </c>
      <c r="AS30" t="s">
        <v>2604</v>
      </c>
      <c r="AT30" t="s">
        <v>2608</v>
      </c>
      <c r="AU30" t="s">
        <v>2609</v>
      </c>
      <c r="AV30" t="s">
        <v>2610</v>
      </c>
      <c r="AW30" t="s">
        <v>577</v>
      </c>
      <c r="AX30" t="s">
        <v>2611</v>
      </c>
      <c r="AY30" t="s">
        <v>556</v>
      </c>
      <c r="BA30" t="s">
        <v>2612</v>
      </c>
      <c r="BB30" t="s">
        <v>558</v>
      </c>
      <c r="BC30" t="s">
        <v>2613</v>
      </c>
      <c r="BD30" t="s">
        <v>2616</v>
      </c>
      <c r="BH30" t="s">
        <v>560</v>
      </c>
      <c r="BI30" t="s">
        <v>561</v>
      </c>
      <c r="BK30" t="s">
        <v>607</v>
      </c>
      <c r="BL30" t="s">
        <v>562</v>
      </c>
      <c r="BM30" t="s">
        <v>2617</v>
      </c>
      <c r="BN30">
        <v>1</v>
      </c>
      <c r="BO30">
        <v>107.17</v>
      </c>
      <c r="BP30">
        <v>20</v>
      </c>
      <c r="BQ30">
        <v>133.33000000000001</v>
      </c>
      <c r="BR30" t="s">
        <v>549</v>
      </c>
    </row>
    <row r="31" spans="1:70">
      <c r="A31" t="s">
        <v>2603</v>
      </c>
      <c r="B31" t="s">
        <v>2604</v>
      </c>
      <c r="C31" t="s">
        <v>662</v>
      </c>
      <c r="D31" t="s">
        <v>1754</v>
      </c>
      <c r="E31" t="s">
        <v>2605</v>
      </c>
      <c r="F31">
        <v>1</v>
      </c>
      <c r="H31" t="s">
        <v>2606</v>
      </c>
      <c r="R31" t="s">
        <v>2607</v>
      </c>
      <c r="S31">
        <v>1</v>
      </c>
      <c r="T31" t="s">
        <v>1782</v>
      </c>
      <c r="U31" t="s">
        <v>547</v>
      </c>
      <c r="V31">
        <v>4332.75</v>
      </c>
      <c r="W31">
        <v>4332.75</v>
      </c>
      <c r="Z31" t="s">
        <v>1783</v>
      </c>
      <c r="AA31" t="s">
        <v>549</v>
      </c>
      <c r="AB31" t="s">
        <v>541</v>
      </c>
      <c r="AC31" t="s">
        <v>550</v>
      </c>
      <c r="AD31" t="s">
        <v>551</v>
      </c>
      <c r="BR31" t="s">
        <v>549</v>
      </c>
    </row>
    <row r="32" spans="1:70">
      <c r="A32" t="s">
        <v>2429</v>
      </c>
      <c r="B32" t="s">
        <v>2430</v>
      </c>
      <c r="C32" t="s">
        <v>2431</v>
      </c>
      <c r="D32" t="s">
        <v>2432</v>
      </c>
      <c r="E32" t="s">
        <v>2433</v>
      </c>
      <c r="F32">
        <v>1</v>
      </c>
      <c r="G32" t="s">
        <v>539</v>
      </c>
      <c r="H32" t="s">
        <v>2434</v>
      </c>
      <c r="I32" t="s">
        <v>541</v>
      </c>
      <c r="J32" t="s">
        <v>542</v>
      </c>
      <c r="K32">
        <v>23040.17</v>
      </c>
      <c r="L32">
        <v>0</v>
      </c>
      <c r="M32" t="s">
        <v>570</v>
      </c>
      <c r="N32" t="s">
        <v>544</v>
      </c>
      <c r="O32">
        <v>228.12</v>
      </c>
      <c r="P32">
        <v>23040.17</v>
      </c>
      <c r="R32" t="s">
        <v>2435</v>
      </c>
      <c r="S32">
        <v>1</v>
      </c>
      <c r="T32" t="s">
        <v>609</v>
      </c>
      <c r="U32" t="s">
        <v>547</v>
      </c>
      <c r="V32">
        <v>5222.99</v>
      </c>
      <c r="W32">
        <v>5222.99</v>
      </c>
      <c r="Z32" t="s">
        <v>610</v>
      </c>
      <c r="AA32" t="s">
        <v>549</v>
      </c>
      <c r="AB32" t="s">
        <v>541</v>
      </c>
      <c r="AC32" t="s">
        <v>550</v>
      </c>
      <c r="AD32" t="s">
        <v>551</v>
      </c>
      <c r="AE32" t="s">
        <v>2430</v>
      </c>
      <c r="AF32" t="s">
        <v>2436</v>
      </c>
      <c r="AH32" t="s">
        <v>2437</v>
      </c>
      <c r="AI32" t="s">
        <v>709</v>
      </c>
      <c r="AJ32" t="s">
        <v>2438</v>
      </c>
      <c r="AK32" t="s">
        <v>556</v>
      </c>
      <c r="AM32" t="s">
        <v>2439</v>
      </c>
      <c r="AN32" t="s">
        <v>558</v>
      </c>
      <c r="AO32" t="s">
        <v>2440</v>
      </c>
      <c r="AP32" t="s">
        <v>2441</v>
      </c>
      <c r="AQ32" t="s">
        <v>2442</v>
      </c>
      <c r="AR32" t="s">
        <v>2443</v>
      </c>
      <c r="AS32" t="s">
        <v>2430</v>
      </c>
      <c r="AT32" t="s">
        <v>2436</v>
      </c>
      <c r="AV32" t="s">
        <v>2437</v>
      </c>
      <c r="AW32" t="s">
        <v>709</v>
      </c>
      <c r="AX32" t="s">
        <v>2438</v>
      </c>
      <c r="AY32" t="s">
        <v>556</v>
      </c>
      <c r="BA32" t="s">
        <v>2439</v>
      </c>
      <c r="BB32" t="s">
        <v>558</v>
      </c>
      <c r="BC32" t="s">
        <v>2440</v>
      </c>
      <c r="BD32" t="s">
        <v>2443</v>
      </c>
      <c r="BH32" t="s">
        <v>560</v>
      </c>
      <c r="BI32" t="s">
        <v>561</v>
      </c>
      <c r="BK32" t="s">
        <v>607</v>
      </c>
      <c r="BL32" t="s">
        <v>562</v>
      </c>
      <c r="BM32" t="s">
        <v>2444</v>
      </c>
      <c r="BN32">
        <v>1</v>
      </c>
      <c r="BO32">
        <v>228.12</v>
      </c>
      <c r="BR32" t="s">
        <v>549</v>
      </c>
    </row>
    <row r="33" spans="1:70">
      <c r="A33" t="s">
        <v>2429</v>
      </c>
      <c r="B33" t="s">
        <v>2430</v>
      </c>
      <c r="C33" t="s">
        <v>2431</v>
      </c>
      <c r="D33" t="s">
        <v>2432</v>
      </c>
      <c r="E33" t="s">
        <v>2433</v>
      </c>
      <c r="F33">
        <v>1</v>
      </c>
      <c r="H33" t="s">
        <v>2434</v>
      </c>
      <c r="R33" t="s">
        <v>2435</v>
      </c>
      <c r="S33">
        <v>1</v>
      </c>
      <c r="T33" t="s">
        <v>584</v>
      </c>
      <c r="U33" t="s">
        <v>547</v>
      </c>
      <c r="V33">
        <v>3218.77</v>
      </c>
      <c r="W33">
        <v>3218.77</v>
      </c>
      <c r="Z33" t="s">
        <v>585</v>
      </c>
      <c r="AA33" t="s">
        <v>549</v>
      </c>
      <c r="AB33" t="s">
        <v>541</v>
      </c>
      <c r="AC33" t="s">
        <v>550</v>
      </c>
      <c r="AD33" t="s">
        <v>551</v>
      </c>
      <c r="BR33" t="s">
        <v>549</v>
      </c>
    </row>
    <row r="34" spans="1:70">
      <c r="A34" t="s">
        <v>2429</v>
      </c>
      <c r="B34" t="s">
        <v>2430</v>
      </c>
      <c r="C34" t="s">
        <v>2431</v>
      </c>
      <c r="D34" t="s">
        <v>2432</v>
      </c>
      <c r="E34" t="s">
        <v>2433</v>
      </c>
      <c r="F34">
        <v>1</v>
      </c>
      <c r="H34" t="s">
        <v>2434</v>
      </c>
      <c r="R34" t="s">
        <v>2435</v>
      </c>
      <c r="S34">
        <v>1</v>
      </c>
      <c r="T34" t="s">
        <v>586</v>
      </c>
      <c r="U34" t="s">
        <v>547</v>
      </c>
      <c r="V34">
        <v>5718.63</v>
      </c>
      <c r="W34">
        <v>5718.63</v>
      </c>
      <c r="Z34" t="s">
        <v>587</v>
      </c>
      <c r="AA34" t="s">
        <v>549</v>
      </c>
      <c r="AB34" t="s">
        <v>541</v>
      </c>
      <c r="AC34" t="s">
        <v>550</v>
      </c>
      <c r="AD34" t="s">
        <v>551</v>
      </c>
      <c r="BR34" t="s">
        <v>549</v>
      </c>
    </row>
    <row r="35" spans="1:70">
      <c r="A35" t="s">
        <v>2429</v>
      </c>
      <c r="B35" t="s">
        <v>2430</v>
      </c>
      <c r="C35" t="s">
        <v>2431</v>
      </c>
      <c r="D35" t="s">
        <v>2432</v>
      </c>
      <c r="E35" t="s">
        <v>2433</v>
      </c>
      <c r="F35">
        <v>1</v>
      </c>
      <c r="H35" t="s">
        <v>2434</v>
      </c>
      <c r="R35" t="s">
        <v>2435</v>
      </c>
      <c r="S35">
        <v>1</v>
      </c>
      <c r="T35" t="s">
        <v>678</v>
      </c>
      <c r="U35" t="s">
        <v>547</v>
      </c>
      <c r="V35">
        <v>8879.7800000000007</v>
      </c>
      <c r="W35">
        <v>8879.7800000000007</v>
      </c>
      <c r="Z35" t="s">
        <v>679</v>
      </c>
      <c r="AA35" t="s">
        <v>549</v>
      </c>
      <c r="AB35" t="s">
        <v>541</v>
      </c>
      <c r="AC35" t="s">
        <v>550</v>
      </c>
      <c r="AD35" t="s">
        <v>551</v>
      </c>
      <c r="BR35" t="s">
        <v>549</v>
      </c>
    </row>
    <row r="36" spans="1:70">
      <c r="A36" t="s">
        <v>2445</v>
      </c>
      <c r="B36" t="s">
        <v>2446</v>
      </c>
      <c r="C36" t="s">
        <v>2447</v>
      </c>
      <c r="D36" t="s">
        <v>2448</v>
      </c>
      <c r="E36" t="s">
        <v>2449</v>
      </c>
      <c r="F36">
        <v>1</v>
      </c>
      <c r="G36" t="s">
        <v>539</v>
      </c>
      <c r="H36" t="s">
        <v>2450</v>
      </c>
      <c r="I36" t="s">
        <v>748</v>
      </c>
      <c r="J36" t="s">
        <v>542</v>
      </c>
      <c r="K36">
        <v>21810.27</v>
      </c>
      <c r="L36">
        <v>0</v>
      </c>
      <c r="M36" t="s">
        <v>570</v>
      </c>
      <c r="N36" t="s">
        <v>544</v>
      </c>
      <c r="O36">
        <v>215.94</v>
      </c>
      <c r="P36">
        <v>21810.27</v>
      </c>
      <c r="R36" t="s">
        <v>2451</v>
      </c>
      <c r="S36">
        <v>1</v>
      </c>
      <c r="T36" t="s">
        <v>616</v>
      </c>
      <c r="U36" t="s">
        <v>547</v>
      </c>
      <c r="V36">
        <v>2094.4</v>
      </c>
      <c r="W36">
        <v>2094.4</v>
      </c>
      <c r="Z36" t="s">
        <v>617</v>
      </c>
      <c r="AA36" t="s">
        <v>549</v>
      </c>
      <c r="AB36" t="s">
        <v>748</v>
      </c>
      <c r="AC36" t="s">
        <v>550</v>
      </c>
      <c r="AD36" t="s">
        <v>551</v>
      </c>
      <c r="AE36" t="s">
        <v>2446</v>
      </c>
      <c r="AF36" t="s">
        <v>2452</v>
      </c>
      <c r="AG36" t="s">
        <v>2453</v>
      </c>
      <c r="AH36" t="s">
        <v>2454</v>
      </c>
      <c r="AI36" t="s">
        <v>601</v>
      </c>
      <c r="AJ36" t="s">
        <v>602</v>
      </c>
      <c r="AK36" t="s">
        <v>556</v>
      </c>
      <c r="AM36" t="s">
        <v>754</v>
      </c>
      <c r="AN36" t="s">
        <v>558</v>
      </c>
      <c r="AO36" t="s">
        <v>2455</v>
      </c>
      <c r="AP36" t="s">
        <v>2456</v>
      </c>
      <c r="AQ36" t="s">
        <v>2457</v>
      </c>
      <c r="AR36" t="s">
        <v>2458</v>
      </c>
      <c r="AS36" t="s">
        <v>2446</v>
      </c>
      <c r="AT36" t="s">
        <v>2452</v>
      </c>
      <c r="AU36" t="s">
        <v>2453</v>
      </c>
      <c r="AV36" t="s">
        <v>2454</v>
      </c>
      <c r="AW36" t="s">
        <v>601</v>
      </c>
      <c r="AX36" t="s">
        <v>602</v>
      </c>
      <c r="AY36" t="s">
        <v>556</v>
      </c>
      <c r="BA36" t="s">
        <v>754</v>
      </c>
      <c r="BB36" t="s">
        <v>558</v>
      </c>
      <c r="BC36" t="s">
        <v>2455</v>
      </c>
      <c r="BD36" t="s">
        <v>2458</v>
      </c>
      <c r="BH36" t="s">
        <v>560</v>
      </c>
      <c r="BI36" t="s">
        <v>561</v>
      </c>
      <c r="BK36" t="s">
        <v>607</v>
      </c>
      <c r="BL36" t="s">
        <v>562</v>
      </c>
      <c r="BM36" t="s">
        <v>2459</v>
      </c>
      <c r="BN36">
        <v>1</v>
      </c>
      <c r="BO36">
        <v>215.94</v>
      </c>
      <c r="BR36" t="s">
        <v>549</v>
      </c>
    </row>
    <row r="37" spans="1:70">
      <c r="A37" t="s">
        <v>2445</v>
      </c>
      <c r="B37" t="s">
        <v>2446</v>
      </c>
      <c r="C37" t="s">
        <v>2447</v>
      </c>
      <c r="D37" t="s">
        <v>2448</v>
      </c>
      <c r="E37" t="s">
        <v>2449</v>
      </c>
      <c r="F37">
        <v>1</v>
      </c>
      <c r="H37" t="s">
        <v>2450</v>
      </c>
      <c r="R37" t="s">
        <v>2451</v>
      </c>
      <c r="S37">
        <v>2</v>
      </c>
      <c r="T37" t="s">
        <v>588</v>
      </c>
      <c r="U37" t="s">
        <v>547</v>
      </c>
      <c r="V37">
        <v>6148.63</v>
      </c>
      <c r="W37">
        <v>6148.63</v>
      </c>
      <c r="Z37" t="s">
        <v>589</v>
      </c>
      <c r="AA37" t="s">
        <v>549</v>
      </c>
      <c r="AB37" t="s">
        <v>748</v>
      </c>
      <c r="AC37" t="s">
        <v>550</v>
      </c>
      <c r="AD37" t="s">
        <v>551</v>
      </c>
      <c r="BR37" t="s">
        <v>549</v>
      </c>
    </row>
    <row r="38" spans="1:70">
      <c r="A38" t="s">
        <v>2445</v>
      </c>
      <c r="B38" t="s">
        <v>2446</v>
      </c>
      <c r="C38" t="s">
        <v>2447</v>
      </c>
      <c r="D38" t="s">
        <v>2448</v>
      </c>
      <c r="E38" t="s">
        <v>2449</v>
      </c>
      <c r="F38">
        <v>1</v>
      </c>
      <c r="H38" t="s">
        <v>2450</v>
      </c>
      <c r="R38" t="s">
        <v>2451</v>
      </c>
      <c r="S38">
        <v>1</v>
      </c>
      <c r="T38" t="s">
        <v>595</v>
      </c>
      <c r="U38" t="s">
        <v>547</v>
      </c>
      <c r="V38">
        <v>7418.61</v>
      </c>
      <c r="W38">
        <v>7418.61</v>
      </c>
      <c r="Z38" t="s">
        <v>596</v>
      </c>
      <c r="AA38" t="s">
        <v>549</v>
      </c>
      <c r="AB38" t="s">
        <v>748</v>
      </c>
      <c r="AC38" t="s">
        <v>550</v>
      </c>
      <c r="AD38" t="s">
        <v>551</v>
      </c>
      <c r="BR38" t="s">
        <v>549</v>
      </c>
    </row>
    <row r="39" spans="1:70">
      <c r="A39" t="s">
        <v>2460</v>
      </c>
      <c r="B39" t="s">
        <v>83</v>
      </c>
      <c r="C39" t="s">
        <v>903</v>
      </c>
      <c r="D39" t="s">
        <v>904</v>
      </c>
      <c r="E39" t="s">
        <v>85</v>
      </c>
      <c r="F39">
        <v>6</v>
      </c>
      <c r="G39" t="s">
        <v>539</v>
      </c>
      <c r="H39" t="s">
        <v>2461</v>
      </c>
      <c r="I39" t="s">
        <v>748</v>
      </c>
      <c r="J39" t="s">
        <v>542</v>
      </c>
      <c r="K39">
        <v>20433.34</v>
      </c>
      <c r="L39">
        <v>800</v>
      </c>
      <c r="M39" t="s">
        <v>543</v>
      </c>
      <c r="N39" t="s">
        <v>544</v>
      </c>
      <c r="O39">
        <v>315.41000000000003</v>
      </c>
      <c r="P39">
        <v>19190.009999999998</v>
      </c>
      <c r="Q39">
        <v>2043.33</v>
      </c>
      <c r="R39" t="s">
        <v>2462</v>
      </c>
      <c r="S39">
        <v>1</v>
      </c>
      <c r="T39" t="s">
        <v>907</v>
      </c>
      <c r="U39" t="s">
        <v>547</v>
      </c>
      <c r="V39">
        <v>3647.23</v>
      </c>
      <c r="W39">
        <v>4052.48</v>
      </c>
      <c r="Z39" t="s">
        <v>908</v>
      </c>
      <c r="AA39" t="s">
        <v>549</v>
      </c>
      <c r="AB39" t="s">
        <v>748</v>
      </c>
      <c r="AC39" t="s">
        <v>550</v>
      </c>
      <c r="AD39" t="s">
        <v>551</v>
      </c>
      <c r="AE39" t="s">
        <v>909</v>
      </c>
      <c r="AF39" t="s">
        <v>910</v>
      </c>
      <c r="AH39" t="s">
        <v>911</v>
      </c>
      <c r="AI39" t="s">
        <v>688</v>
      </c>
      <c r="AJ39" t="s">
        <v>912</v>
      </c>
      <c r="AK39" t="s">
        <v>556</v>
      </c>
      <c r="AM39" t="s">
        <v>690</v>
      </c>
      <c r="AN39" t="s">
        <v>558</v>
      </c>
      <c r="AO39" t="s">
        <v>84</v>
      </c>
      <c r="AP39" t="s">
        <v>913</v>
      </c>
      <c r="AQ39" t="s">
        <v>688</v>
      </c>
      <c r="AR39" t="s">
        <v>914</v>
      </c>
      <c r="AS39" t="s">
        <v>909</v>
      </c>
      <c r="AT39" t="s">
        <v>910</v>
      </c>
      <c r="AV39" t="s">
        <v>911</v>
      </c>
      <c r="AW39" t="s">
        <v>688</v>
      </c>
      <c r="AX39" t="s">
        <v>912</v>
      </c>
      <c r="AY39" t="s">
        <v>556</v>
      </c>
      <c r="BA39" t="s">
        <v>690</v>
      </c>
      <c r="BB39" t="s">
        <v>558</v>
      </c>
      <c r="BC39" t="s">
        <v>84</v>
      </c>
      <c r="BD39" t="s">
        <v>914</v>
      </c>
      <c r="BH39" t="s">
        <v>560</v>
      </c>
      <c r="BI39" t="s">
        <v>561</v>
      </c>
      <c r="BK39" t="s">
        <v>607</v>
      </c>
      <c r="BL39" t="s">
        <v>562</v>
      </c>
      <c r="BM39" t="s">
        <v>2463</v>
      </c>
      <c r="BN39">
        <v>1</v>
      </c>
      <c r="BO39">
        <v>182.08</v>
      </c>
      <c r="BP39">
        <v>20</v>
      </c>
      <c r="BQ39">
        <v>133.33000000000001</v>
      </c>
      <c r="BR39" t="s">
        <v>549</v>
      </c>
    </row>
    <row r="40" spans="1:70">
      <c r="A40" t="s">
        <v>2460</v>
      </c>
      <c r="B40" t="s">
        <v>83</v>
      </c>
      <c r="C40" t="s">
        <v>903</v>
      </c>
      <c r="D40" t="s">
        <v>904</v>
      </c>
      <c r="E40" t="s">
        <v>85</v>
      </c>
      <c r="F40">
        <v>6</v>
      </c>
      <c r="H40" t="s">
        <v>2461</v>
      </c>
      <c r="R40" t="s">
        <v>2462</v>
      </c>
      <c r="S40">
        <v>2</v>
      </c>
      <c r="T40" t="s">
        <v>1053</v>
      </c>
      <c r="U40" t="s">
        <v>547</v>
      </c>
      <c r="V40">
        <v>7371.39</v>
      </c>
      <c r="W40">
        <v>8190.43</v>
      </c>
      <c r="Z40" t="s">
        <v>1054</v>
      </c>
      <c r="AA40" t="s">
        <v>549</v>
      </c>
      <c r="AB40" t="s">
        <v>748</v>
      </c>
      <c r="AC40" t="s">
        <v>550</v>
      </c>
      <c r="AD40" t="s">
        <v>551</v>
      </c>
      <c r="BR40" t="s">
        <v>549</v>
      </c>
    </row>
    <row r="41" spans="1:70">
      <c r="A41" t="s">
        <v>2464</v>
      </c>
      <c r="B41" t="s">
        <v>2465</v>
      </c>
      <c r="C41" t="s">
        <v>2466</v>
      </c>
      <c r="D41" t="s">
        <v>2467</v>
      </c>
      <c r="E41" t="s">
        <v>2468</v>
      </c>
      <c r="F41">
        <v>1</v>
      </c>
      <c r="G41" t="s">
        <v>539</v>
      </c>
      <c r="H41" t="s">
        <v>2469</v>
      </c>
      <c r="I41" t="s">
        <v>748</v>
      </c>
      <c r="J41" t="s">
        <v>542</v>
      </c>
      <c r="K41">
        <v>22009</v>
      </c>
      <c r="L41">
        <v>0</v>
      </c>
      <c r="M41" t="s">
        <v>570</v>
      </c>
      <c r="N41" t="s">
        <v>544</v>
      </c>
      <c r="O41">
        <v>217.91</v>
      </c>
      <c r="P41">
        <v>22009</v>
      </c>
      <c r="R41" t="s">
        <v>2470</v>
      </c>
      <c r="S41">
        <v>1</v>
      </c>
      <c r="T41" t="s">
        <v>595</v>
      </c>
      <c r="U41" t="s">
        <v>547</v>
      </c>
      <c r="V41">
        <v>7418.61</v>
      </c>
      <c r="W41">
        <v>7418.61</v>
      </c>
      <c r="Z41" t="s">
        <v>596</v>
      </c>
      <c r="AA41" t="s">
        <v>549</v>
      </c>
      <c r="AB41" t="s">
        <v>748</v>
      </c>
      <c r="AC41" t="s">
        <v>550</v>
      </c>
      <c r="AD41" t="s">
        <v>551</v>
      </c>
      <c r="AE41" t="s">
        <v>2465</v>
      </c>
      <c r="AF41" t="s">
        <v>2471</v>
      </c>
      <c r="AH41" t="s">
        <v>2472</v>
      </c>
      <c r="AI41" t="s">
        <v>577</v>
      </c>
      <c r="AJ41" t="s">
        <v>2473</v>
      </c>
      <c r="AK41" t="s">
        <v>556</v>
      </c>
      <c r="AM41" t="s">
        <v>2474</v>
      </c>
      <c r="AN41" t="s">
        <v>558</v>
      </c>
      <c r="AO41" t="s">
        <v>2475</v>
      </c>
      <c r="AP41" t="s">
        <v>2476</v>
      </c>
      <c r="AQ41" t="s">
        <v>2477</v>
      </c>
      <c r="AR41" t="s">
        <v>2478</v>
      </c>
      <c r="AS41" t="s">
        <v>2465</v>
      </c>
      <c r="AT41" t="s">
        <v>2471</v>
      </c>
      <c r="AV41" t="s">
        <v>2472</v>
      </c>
      <c r="AW41" t="s">
        <v>577</v>
      </c>
      <c r="AX41" t="s">
        <v>2473</v>
      </c>
      <c r="AY41" t="s">
        <v>556</v>
      </c>
      <c r="BA41" t="s">
        <v>2474</v>
      </c>
      <c r="BB41" t="s">
        <v>558</v>
      </c>
      <c r="BC41" t="s">
        <v>2475</v>
      </c>
      <c r="BD41" t="s">
        <v>2478</v>
      </c>
      <c r="BH41" t="s">
        <v>560</v>
      </c>
      <c r="BI41" t="s">
        <v>561</v>
      </c>
      <c r="BK41" t="s">
        <v>607</v>
      </c>
      <c r="BL41" t="s">
        <v>562</v>
      </c>
      <c r="BM41" t="s">
        <v>2479</v>
      </c>
      <c r="BN41">
        <v>1</v>
      </c>
      <c r="BO41">
        <v>217.91</v>
      </c>
      <c r="BR41" t="s">
        <v>549</v>
      </c>
    </row>
    <row r="42" spans="1:70">
      <c r="A42" t="s">
        <v>2464</v>
      </c>
      <c r="B42" t="s">
        <v>2465</v>
      </c>
      <c r="C42" t="s">
        <v>2466</v>
      </c>
      <c r="D42" t="s">
        <v>2467</v>
      </c>
      <c r="E42" t="s">
        <v>2468</v>
      </c>
      <c r="F42">
        <v>1</v>
      </c>
      <c r="H42" t="s">
        <v>2469</v>
      </c>
      <c r="R42" t="s">
        <v>2470</v>
      </c>
      <c r="S42">
        <v>1</v>
      </c>
      <c r="T42" t="s">
        <v>588</v>
      </c>
      <c r="U42" t="s">
        <v>547</v>
      </c>
      <c r="V42">
        <v>6148.63</v>
      </c>
      <c r="W42">
        <v>6148.63</v>
      </c>
      <c r="Z42" t="s">
        <v>589</v>
      </c>
      <c r="AA42" t="s">
        <v>549</v>
      </c>
      <c r="AB42" t="s">
        <v>748</v>
      </c>
      <c r="AC42" t="s">
        <v>550</v>
      </c>
      <c r="AD42" t="s">
        <v>551</v>
      </c>
      <c r="BR42" t="s">
        <v>549</v>
      </c>
    </row>
    <row r="43" spans="1:70">
      <c r="A43" t="s">
        <v>2464</v>
      </c>
      <c r="B43" t="s">
        <v>2465</v>
      </c>
      <c r="C43" t="s">
        <v>2466</v>
      </c>
      <c r="D43" t="s">
        <v>2467</v>
      </c>
      <c r="E43" t="s">
        <v>2468</v>
      </c>
      <c r="F43">
        <v>1</v>
      </c>
      <c r="H43" t="s">
        <v>2469</v>
      </c>
      <c r="R43" t="s">
        <v>2470</v>
      </c>
      <c r="S43">
        <v>1</v>
      </c>
      <c r="T43" t="s">
        <v>584</v>
      </c>
      <c r="U43" t="s">
        <v>547</v>
      </c>
      <c r="V43">
        <v>3218.77</v>
      </c>
      <c r="W43">
        <v>3218.77</v>
      </c>
      <c r="Z43" t="s">
        <v>585</v>
      </c>
      <c r="AA43" t="s">
        <v>549</v>
      </c>
      <c r="AB43" t="s">
        <v>748</v>
      </c>
      <c r="AC43" t="s">
        <v>550</v>
      </c>
      <c r="AD43" t="s">
        <v>551</v>
      </c>
      <c r="BR43" t="s">
        <v>549</v>
      </c>
    </row>
    <row r="44" spans="1:70">
      <c r="A44" t="s">
        <v>2464</v>
      </c>
      <c r="B44" t="s">
        <v>2465</v>
      </c>
      <c r="C44" t="s">
        <v>2466</v>
      </c>
      <c r="D44" t="s">
        <v>2467</v>
      </c>
      <c r="E44" t="s">
        <v>2468</v>
      </c>
      <c r="F44">
        <v>1</v>
      </c>
      <c r="H44" t="s">
        <v>2469</v>
      </c>
      <c r="R44" t="s">
        <v>2470</v>
      </c>
      <c r="S44">
        <v>1</v>
      </c>
      <c r="T44" t="s">
        <v>609</v>
      </c>
      <c r="U44" t="s">
        <v>547</v>
      </c>
      <c r="V44">
        <v>5222.99</v>
      </c>
      <c r="W44">
        <v>5222.99</v>
      </c>
      <c r="Z44" t="s">
        <v>610</v>
      </c>
      <c r="AA44" t="s">
        <v>549</v>
      </c>
      <c r="AB44" t="s">
        <v>748</v>
      </c>
      <c r="AC44" t="s">
        <v>550</v>
      </c>
      <c r="AD44" t="s">
        <v>551</v>
      </c>
      <c r="BR44" t="s">
        <v>549</v>
      </c>
    </row>
    <row r="45" spans="1:70">
      <c r="A45" t="s">
        <v>2480</v>
      </c>
      <c r="B45" t="s">
        <v>2481</v>
      </c>
      <c r="C45" t="s">
        <v>2482</v>
      </c>
      <c r="D45" t="s">
        <v>2483</v>
      </c>
      <c r="E45" t="s">
        <v>2484</v>
      </c>
      <c r="F45">
        <v>1</v>
      </c>
      <c r="G45" t="s">
        <v>539</v>
      </c>
      <c r="H45" t="s">
        <v>2485</v>
      </c>
      <c r="I45" t="s">
        <v>748</v>
      </c>
      <c r="J45" t="s">
        <v>542</v>
      </c>
      <c r="K45">
        <v>57356.24</v>
      </c>
      <c r="L45">
        <v>0</v>
      </c>
      <c r="M45" t="s">
        <v>570</v>
      </c>
      <c r="N45" t="s">
        <v>544</v>
      </c>
      <c r="O45">
        <v>567.88</v>
      </c>
      <c r="P45">
        <v>57356.24</v>
      </c>
      <c r="R45" t="s">
        <v>2486</v>
      </c>
      <c r="S45">
        <v>4</v>
      </c>
      <c r="T45" t="s">
        <v>1053</v>
      </c>
      <c r="U45" t="s">
        <v>547</v>
      </c>
      <c r="V45">
        <v>8190.43</v>
      </c>
      <c r="W45">
        <v>8190.43</v>
      </c>
      <c r="Z45" t="s">
        <v>1054</v>
      </c>
      <c r="AA45" t="s">
        <v>549</v>
      </c>
      <c r="AB45" t="s">
        <v>748</v>
      </c>
      <c r="AC45" t="s">
        <v>550</v>
      </c>
      <c r="AD45" t="s">
        <v>551</v>
      </c>
      <c r="AE45" t="s">
        <v>2487</v>
      </c>
      <c r="AF45" t="s">
        <v>2488</v>
      </c>
      <c r="AG45" t="s">
        <v>2489</v>
      </c>
      <c r="AH45" t="s">
        <v>2490</v>
      </c>
      <c r="AI45" t="s">
        <v>577</v>
      </c>
      <c r="AJ45" t="s">
        <v>1304</v>
      </c>
      <c r="AK45" t="s">
        <v>556</v>
      </c>
      <c r="AM45" t="s">
        <v>579</v>
      </c>
      <c r="AN45" t="s">
        <v>558</v>
      </c>
      <c r="AO45" t="s">
        <v>2491</v>
      </c>
      <c r="AP45" t="s">
        <v>1299</v>
      </c>
      <c r="AQ45" t="s">
        <v>1395</v>
      </c>
      <c r="AR45" t="s">
        <v>2492</v>
      </c>
      <c r="AS45" t="s">
        <v>2487</v>
      </c>
      <c r="AT45" t="s">
        <v>2488</v>
      </c>
      <c r="AU45" t="s">
        <v>2489</v>
      </c>
      <c r="AW45" t="s">
        <v>577</v>
      </c>
      <c r="AX45" t="s">
        <v>1304</v>
      </c>
      <c r="AY45" t="s">
        <v>556</v>
      </c>
      <c r="BA45" t="s">
        <v>579</v>
      </c>
      <c r="BB45" t="s">
        <v>558</v>
      </c>
      <c r="BC45" t="s">
        <v>2491</v>
      </c>
      <c r="BD45" t="s">
        <v>2492</v>
      </c>
      <c r="BH45" t="s">
        <v>560</v>
      </c>
      <c r="BI45" t="s">
        <v>561</v>
      </c>
      <c r="BK45" t="s">
        <v>607</v>
      </c>
      <c r="BL45" t="s">
        <v>562</v>
      </c>
      <c r="BM45" t="s">
        <v>2493</v>
      </c>
      <c r="BN45">
        <v>1</v>
      </c>
      <c r="BO45">
        <v>567.88</v>
      </c>
      <c r="BR45" t="s">
        <v>549</v>
      </c>
    </row>
    <row r="46" spans="1:70">
      <c r="A46" t="s">
        <v>2480</v>
      </c>
      <c r="B46" t="s">
        <v>2481</v>
      </c>
      <c r="C46" t="s">
        <v>2482</v>
      </c>
      <c r="D46" t="s">
        <v>2483</v>
      </c>
      <c r="E46" t="s">
        <v>2484</v>
      </c>
      <c r="F46">
        <v>1</v>
      </c>
      <c r="H46" t="s">
        <v>2485</v>
      </c>
      <c r="R46" t="s">
        <v>2486</v>
      </c>
      <c r="S46">
        <v>4</v>
      </c>
      <c r="T46" t="s">
        <v>588</v>
      </c>
      <c r="U46" t="s">
        <v>547</v>
      </c>
      <c r="V46">
        <v>6148.63</v>
      </c>
      <c r="W46">
        <v>6148.63</v>
      </c>
      <c r="Z46" t="s">
        <v>589</v>
      </c>
      <c r="AA46" t="s">
        <v>549</v>
      </c>
      <c r="AB46" t="s">
        <v>748</v>
      </c>
      <c r="AC46" t="s">
        <v>550</v>
      </c>
      <c r="AD46" t="s">
        <v>551</v>
      </c>
      <c r="BR46" t="s">
        <v>549</v>
      </c>
    </row>
    <row r="47" spans="1:70">
      <c r="A47" t="s">
        <v>2494</v>
      </c>
      <c r="B47" t="s">
        <v>72</v>
      </c>
      <c r="C47" t="s">
        <v>849</v>
      </c>
      <c r="D47" t="s">
        <v>850</v>
      </c>
      <c r="E47" t="s">
        <v>74</v>
      </c>
      <c r="F47">
        <v>3</v>
      </c>
      <c r="G47" t="s">
        <v>1140</v>
      </c>
      <c r="H47" t="s">
        <v>2495</v>
      </c>
      <c r="I47" t="s">
        <v>1142</v>
      </c>
      <c r="J47" t="s">
        <v>542</v>
      </c>
      <c r="K47">
        <v>23423.08</v>
      </c>
      <c r="L47">
        <v>0</v>
      </c>
      <c r="M47" t="s">
        <v>570</v>
      </c>
      <c r="N47" t="s">
        <v>544</v>
      </c>
      <c r="O47">
        <v>231.91</v>
      </c>
      <c r="P47">
        <v>23423.08</v>
      </c>
      <c r="R47" t="s">
        <v>2496</v>
      </c>
      <c r="S47">
        <v>1</v>
      </c>
      <c r="T47" t="s">
        <v>628</v>
      </c>
      <c r="U47" t="s">
        <v>547</v>
      </c>
      <c r="V47">
        <v>6491.46</v>
      </c>
      <c r="W47">
        <v>6491.46</v>
      </c>
      <c r="Z47" t="s">
        <v>629</v>
      </c>
      <c r="AA47" t="s">
        <v>549</v>
      </c>
      <c r="AB47" t="s">
        <v>1142</v>
      </c>
      <c r="AC47" t="s">
        <v>550</v>
      </c>
      <c r="AD47" t="s">
        <v>551</v>
      </c>
      <c r="AE47" t="s">
        <v>853</v>
      </c>
      <c r="AF47" t="s">
        <v>854</v>
      </c>
      <c r="AG47" t="s">
        <v>855</v>
      </c>
      <c r="AH47" t="s">
        <v>856</v>
      </c>
      <c r="AI47" t="s">
        <v>577</v>
      </c>
      <c r="AJ47" t="s">
        <v>857</v>
      </c>
      <c r="AK47" t="s">
        <v>556</v>
      </c>
      <c r="AM47" t="s">
        <v>858</v>
      </c>
      <c r="AN47" t="s">
        <v>558</v>
      </c>
      <c r="AO47" t="s">
        <v>73</v>
      </c>
      <c r="AP47" t="s">
        <v>859</v>
      </c>
      <c r="AQ47" t="s">
        <v>858</v>
      </c>
      <c r="AR47" t="s">
        <v>860</v>
      </c>
      <c r="AS47" t="s">
        <v>853</v>
      </c>
      <c r="AT47" t="s">
        <v>854</v>
      </c>
      <c r="AU47" t="s">
        <v>855</v>
      </c>
      <c r="AV47" t="s">
        <v>856</v>
      </c>
      <c r="AW47" t="s">
        <v>577</v>
      </c>
      <c r="AX47" t="s">
        <v>857</v>
      </c>
      <c r="AY47" t="s">
        <v>556</v>
      </c>
      <c r="BA47" t="s">
        <v>858</v>
      </c>
      <c r="BB47" t="s">
        <v>558</v>
      </c>
      <c r="BC47" t="s">
        <v>73</v>
      </c>
      <c r="BD47" t="s">
        <v>860</v>
      </c>
      <c r="BH47" t="s">
        <v>560</v>
      </c>
      <c r="BI47" t="s">
        <v>561</v>
      </c>
      <c r="BK47" t="s">
        <v>607</v>
      </c>
      <c r="BL47" t="s">
        <v>562</v>
      </c>
      <c r="BM47" t="s">
        <v>2497</v>
      </c>
      <c r="BN47">
        <v>1</v>
      </c>
      <c r="BO47">
        <v>231.91</v>
      </c>
      <c r="BR47" t="s">
        <v>549</v>
      </c>
    </row>
    <row r="48" spans="1:70">
      <c r="A48" t="s">
        <v>2494</v>
      </c>
      <c r="B48" t="s">
        <v>72</v>
      </c>
      <c r="C48" t="s">
        <v>849</v>
      </c>
      <c r="D48" t="s">
        <v>850</v>
      </c>
      <c r="E48" t="s">
        <v>74</v>
      </c>
      <c r="F48">
        <v>3</v>
      </c>
      <c r="H48" t="s">
        <v>2495</v>
      </c>
      <c r="R48" t="s">
        <v>2496</v>
      </c>
      <c r="S48">
        <v>2</v>
      </c>
      <c r="T48" t="s">
        <v>595</v>
      </c>
      <c r="U48" t="s">
        <v>547</v>
      </c>
      <c r="V48">
        <v>7418.61</v>
      </c>
      <c r="W48">
        <v>7418.61</v>
      </c>
      <c r="Z48" t="s">
        <v>596</v>
      </c>
      <c r="AA48" t="s">
        <v>549</v>
      </c>
      <c r="AB48" t="s">
        <v>1142</v>
      </c>
      <c r="AC48" t="s">
        <v>550</v>
      </c>
      <c r="AD48" t="s">
        <v>551</v>
      </c>
      <c r="BR48" t="s">
        <v>549</v>
      </c>
    </row>
    <row r="49" spans="1:70">
      <c r="A49" t="s">
        <v>2494</v>
      </c>
      <c r="B49" t="s">
        <v>72</v>
      </c>
      <c r="C49" t="s">
        <v>849</v>
      </c>
      <c r="D49" t="s">
        <v>850</v>
      </c>
      <c r="E49" t="s">
        <v>74</v>
      </c>
      <c r="F49">
        <v>3</v>
      </c>
      <c r="H49" t="s">
        <v>2495</v>
      </c>
      <c r="R49" t="s">
        <v>2496</v>
      </c>
      <c r="S49">
        <v>1</v>
      </c>
      <c r="T49" t="s">
        <v>616</v>
      </c>
      <c r="U49" t="s">
        <v>547</v>
      </c>
      <c r="V49">
        <v>2094.4</v>
      </c>
      <c r="W49">
        <v>2094.4</v>
      </c>
      <c r="Z49" t="s">
        <v>617</v>
      </c>
      <c r="AA49" t="s">
        <v>549</v>
      </c>
      <c r="AB49" t="s">
        <v>1142</v>
      </c>
      <c r="AC49" t="s">
        <v>550</v>
      </c>
      <c r="AD49" t="s">
        <v>551</v>
      </c>
      <c r="BR49" t="s">
        <v>549</v>
      </c>
    </row>
    <row r="50" spans="1:70">
      <c r="A50" t="s">
        <v>2498</v>
      </c>
      <c r="B50" t="s">
        <v>2499</v>
      </c>
      <c r="C50" t="s">
        <v>2500</v>
      </c>
      <c r="D50" t="s">
        <v>2501</v>
      </c>
      <c r="E50" t="s">
        <v>2502</v>
      </c>
      <c r="F50">
        <v>1</v>
      </c>
      <c r="G50" t="s">
        <v>539</v>
      </c>
      <c r="H50" t="s">
        <v>2503</v>
      </c>
      <c r="I50" t="s">
        <v>748</v>
      </c>
      <c r="J50" t="s">
        <v>542</v>
      </c>
      <c r="K50">
        <v>74072.81</v>
      </c>
      <c r="L50">
        <v>0</v>
      </c>
      <c r="M50" t="s">
        <v>570</v>
      </c>
      <c r="N50" t="s">
        <v>544</v>
      </c>
      <c r="O50">
        <v>733.39</v>
      </c>
      <c r="P50">
        <v>74072.81</v>
      </c>
      <c r="R50" t="s">
        <v>2504</v>
      </c>
      <c r="S50">
        <v>1</v>
      </c>
      <c r="T50" t="s">
        <v>609</v>
      </c>
      <c r="U50" t="s">
        <v>547</v>
      </c>
      <c r="V50">
        <v>5222.99</v>
      </c>
      <c r="W50">
        <v>5222.99</v>
      </c>
      <c r="Z50" t="s">
        <v>610</v>
      </c>
      <c r="AA50" t="s">
        <v>549</v>
      </c>
      <c r="AB50" t="s">
        <v>748</v>
      </c>
      <c r="AC50" t="s">
        <v>550</v>
      </c>
      <c r="AD50" t="s">
        <v>551</v>
      </c>
      <c r="AE50" t="s">
        <v>2499</v>
      </c>
      <c r="AF50" t="s">
        <v>2505</v>
      </c>
      <c r="AI50" t="s">
        <v>709</v>
      </c>
      <c r="AJ50" t="s">
        <v>2506</v>
      </c>
      <c r="AK50" t="s">
        <v>556</v>
      </c>
      <c r="AM50" t="s">
        <v>2507</v>
      </c>
      <c r="AN50" t="s">
        <v>558</v>
      </c>
      <c r="AO50" t="s">
        <v>2508</v>
      </c>
      <c r="AP50" t="s">
        <v>549</v>
      </c>
      <c r="AQ50" t="s">
        <v>549</v>
      </c>
      <c r="AR50" t="s">
        <v>2509</v>
      </c>
      <c r="AS50" t="s">
        <v>2499</v>
      </c>
      <c r="AT50" t="s">
        <v>2510</v>
      </c>
      <c r="AU50" t="s">
        <v>2511</v>
      </c>
      <c r="AW50" t="s">
        <v>709</v>
      </c>
      <c r="AX50" t="s">
        <v>2512</v>
      </c>
      <c r="AY50" t="s">
        <v>556</v>
      </c>
      <c r="BA50" t="s">
        <v>2507</v>
      </c>
      <c r="BB50" t="s">
        <v>558</v>
      </c>
      <c r="BC50" t="s">
        <v>2508</v>
      </c>
      <c r="BD50" t="s">
        <v>2509</v>
      </c>
      <c r="BH50" t="s">
        <v>560</v>
      </c>
      <c r="BI50" t="s">
        <v>561</v>
      </c>
      <c r="BK50" t="s">
        <v>607</v>
      </c>
      <c r="BL50" t="s">
        <v>562</v>
      </c>
      <c r="BM50" t="s">
        <v>2513</v>
      </c>
      <c r="BN50">
        <v>1</v>
      </c>
      <c r="BO50">
        <v>733.39</v>
      </c>
      <c r="BR50" t="s">
        <v>549</v>
      </c>
    </row>
    <row r="51" spans="1:70">
      <c r="A51" t="s">
        <v>2498</v>
      </c>
      <c r="B51" t="s">
        <v>2499</v>
      </c>
      <c r="C51" t="s">
        <v>2500</v>
      </c>
      <c r="D51" t="s">
        <v>2501</v>
      </c>
      <c r="E51" t="s">
        <v>2502</v>
      </c>
      <c r="F51">
        <v>1</v>
      </c>
      <c r="H51" t="s">
        <v>2503</v>
      </c>
      <c r="R51" t="s">
        <v>2504</v>
      </c>
      <c r="S51">
        <v>1</v>
      </c>
      <c r="T51" t="s">
        <v>2514</v>
      </c>
      <c r="U51" t="s">
        <v>547</v>
      </c>
      <c r="V51">
        <v>2166.86</v>
      </c>
      <c r="W51">
        <v>2166.86</v>
      </c>
      <c r="Z51" t="s">
        <v>1399</v>
      </c>
      <c r="AA51" t="s">
        <v>549</v>
      </c>
      <c r="AB51" t="s">
        <v>748</v>
      </c>
      <c r="AC51" t="s">
        <v>550</v>
      </c>
      <c r="AD51" t="s">
        <v>551</v>
      </c>
      <c r="BR51" t="s">
        <v>549</v>
      </c>
    </row>
    <row r="52" spans="1:70">
      <c r="A52" t="s">
        <v>2498</v>
      </c>
      <c r="B52" t="s">
        <v>2499</v>
      </c>
      <c r="C52" t="s">
        <v>2500</v>
      </c>
      <c r="D52" t="s">
        <v>2501</v>
      </c>
      <c r="E52" t="s">
        <v>2502</v>
      </c>
      <c r="F52">
        <v>1</v>
      </c>
      <c r="H52" t="s">
        <v>2503</v>
      </c>
      <c r="R52" t="s">
        <v>2504</v>
      </c>
      <c r="S52">
        <v>2</v>
      </c>
      <c r="T52" t="s">
        <v>595</v>
      </c>
      <c r="U52" t="s">
        <v>547</v>
      </c>
      <c r="V52">
        <v>7418.61</v>
      </c>
      <c r="W52">
        <v>7418.61</v>
      </c>
      <c r="Z52" t="s">
        <v>596</v>
      </c>
      <c r="AA52" t="s">
        <v>549</v>
      </c>
      <c r="AB52" t="s">
        <v>748</v>
      </c>
      <c r="AC52" t="s">
        <v>550</v>
      </c>
      <c r="AD52" t="s">
        <v>551</v>
      </c>
      <c r="BR52" t="s">
        <v>549</v>
      </c>
    </row>
    <row r="53" spans="1:70">
      <c r="A53" t="s">
        <v>2498</v>
      </c>
      <c r="B53" t="s">
        <v>2499</v>
      </c>
      <c r="C53" t="s">
        <v>2500</v>
      </c>
      <c r="D53" t="s">
        <v>2501</v>
      </c>
      <c r="E53" t="s">
        <v>2502</v>
      </c>
      <c r="F53">
        <v>1</v>
      </c>
      <c r="H53" t="s">
        <v>2503</v>
      </c>
      <c r="R53" t="s">
        <v>2504</v>
      </c>
      <c r="S53">
        <v>1</v>
      </c>
      <c r="T53" t="s">
        <v>630</v>
      </c>
      <c r="U53" t="s">
        <v>547</v>
      </c>
      <c r="V53">
        <v>3431.4</v>
      </c>
      <c r="W53">
        <v>3431.4</v>
      </c>
      <c r="Z53" t="s">
        <v>631</v>
      </c>
      <c r="AA53" t="s">
        <v>549</v>
      </c>
      <c r="AB53" t="s">
        <v>748</v>
      </c>
      <c r="AC53" t="s">
        <v>550</v>
      </c>
      <c r="AD53" t="s">
        <v>551</v>
      </c>
      <c r="BR53" t="s">
        <v>549</v>
      </c>
    </row>
    <row r="54" spans="1:70">
      <c r="A54" t="s">
        <v>2498</v>
      </c>
      <c r="B54" t="s">
        <v>2499</v>
      </c>
      <c r="C54" t="s">
        <v>2500</v>
      </c>
      <c r="D54" t="s">
        <v>2501</v>
      </c>
      <c r="E54" t="s">
        <v>2502</v>
      </c>
      <c r="F54">
        <v>1</v>
      </c>
      <c r="H54" t="s">
        <v>2503</v>
      </c>
      <c r="R54" t="s">
        <v>2504</v>
      </c>
      <c r="S54">
        <v>1</v>
      </c>
      <c r="T54" t="s">
        <v>586</v>
      </c>
      <c r="U54" t="s">
        <v>547</v>
      </c>
      <c r="V54">
        <v>5718.63</v>
      </c>
      <c r="W54">
        <v>5718.63</v>
      </c>
      <c r="Z54" t="s">
        <v>587</v>
      </c>
      <c r="AA54" t="s">
        <v>549</v>
      </c>
      <c r="AB54" t="s">
        <v>748</v>
      </c>
      <c r="AC54" t="s">
        <v>550</v>
      </c>
      <c r="AD54" t="s">
        <v>551</v>
      </c>
      <c r="BR54" t="s">
        <v>549</v>
      </c>
    </row>
    <row r="55" spans="1:70">
      <c r="A55" t="s">
        <v>2498</v>
      </c>
      <c r="B55" t="s">
        <v>2499</v>
      </c>
      <c r="C55" t="s">
        <v>2500</v>
      </c>
      <c r="D55" t="s">
        <v>2501</v>
      </c>
      <c r="E55" t="s">
        <v>2502</v>
      </c>
      <c r="F55">
        <v>1</v>
      </c>
      <c r="H55" t="s">
        <v>2503</v>
      </c>
      <c r="R55" t="s">
        <v>2504</v>
      </c>
      <c r="S55">
        <v>1</v>
      </c>
      <c r="T55" t="s">
        <v>632</v>
      </c>
      <c r="U55" t="s">
        <v>547</v>
      </c>
      <c r="V55">
        <v>2474.88</v>
      </c>
      <c r="W55">
        <v>2474.88</v>
      </c>
      <c r="Z55" t="s">
        <v>633</v>
      </c>
      <c r="AA55" t="s">
        <v>549</v>
      </c>
      <c r="AB55" t="s">
        <v>748</v>
      </c>
      <c r="AC55" t="s">
        <v>550</v>
      </c>
      <c r="AD55" t="s">
        <v>551</v>
      </c>
      <c r="BR55" t="s">
        <v>549</v>
      </c>
    </row>
    <row r="56" spans="1:70">
      <c r="A56" t="s">
        <v>2498</v>
      </c>
      <c r="B56" t="s">
        <v>2499</v>
      </c>
      <c r="C56" t="s">
        <v>2500</v>
      </c>
      <c r="D56" t="s">
        <v>2501</v>
      </c>
      <c r="E56" t="s">
        <v>2502</v>
      </c>
      <c r="F56">
        <v>1</v>
      </c>
      <c r="H56" t="s">
        <v>2503</v>
      </c>
      <c r="R56" t="s">
        <v>2504</v>
      </c>
      <c r="S56">
        <v>1</v>
      </c>
      <c r="T56" t="s">
        <v>740</v>
      </c>
      <c r="U56" t="s">
        <v>547</v>
      </c>
      <c r="V56">
        <v>6619.84</v>
      </c>
      <c r="W56">
        <v>6619.84</v>
      </c>
      <c r="Z56" t="s">
        <v>741</v>
      </c>
      <c r="AA56" t="s">
        <v>549</v>
      </c>
      <c r="AB56" t="s">
        <v>748</v>
      </c>
      <c r="AC56" t="s">
        <v>550</v>
      </c>
      <c r="AD56" t="s">
        <v>551</v>
      </c>
      <c r="BR56" t="s">
        <v>549</v>
      </c>
    </row>
    <row r="57" spans="1:70">
      <c r="A57" t="s">
        <v>2498</v>
      </c>
      <c r="B57" t="s">
        <v>2499</v>
      </c>
      <c r="C57" t="s">
        <v>2500</v>
      </c>
      <c r="D57" t="s">
        <v>2501</v>
      </c>
      <c r="E57" t="s">
        <v>2502</v>
      </c>
      <c r="F57">
        <v>1</v>
      </c>
      <c r="H57" t="s">
        <v>2503</v>
      </c>
      <c r="R57" t="s">
        <v>2504</v>
      </c>
      <c r="S57">
        <v>2</v>
      </c>
      <c r="T57" t="s">
        <v>678</v>
      </c>
      <c r="U57" t="s">
        <v>547</v>
      </c>
      <c r="V57">
        <v>8879.7800000000007</v>
      </c>
      <c r="W57">
        <v>8879.7800000000007</v>
      </c>
      <c r="Z57" t="s">
        <v>679</v>
      </c>
      <c r="AA57" t="s">
        <v>549</v>
      </c>
      <c r="AB57" t="s">
        <v>748</v>
      </c>
      <c r="AC57" t="s">
        <v>550</v>
      </c>
      <c r="AD57" t="s">
        <v>551</v>
      </c>
      <c r="BR57" t="s">
        <v>549</v>
      </c>
    </row>
    <row r="58" spans="1:70">
      <c r="A58" t="s">
        <v>2498</v>
      </c>
      <c r="B58" t="s">
        <v>2499</v>
      </c>
      <c r="C58" t="s">
        <v>2500</v>
      </c>
      <c r="D58" t="s">
        <v>2501</v>
      </c>
      <c r="E58" t="s">
        <v>2502</v>
      </c>
      <c r="F58">
        <v>1</v>
      </c>
      <c r="H58" t="s">
        <v>2503</v>
      </c>
      <c r="R58" t="s">
        <v>2504</v>
      </c>
      <c r="S58">
        <v>1</v>
      </c>
      <c r="T58" t="s">
        <v>588</v>
      </c>
      <c r="U58" t="s">
        <v>547</v>
      </c>
      <c r="V58">
        <v>6148.63</v>
      </c>
      <c r="W58">
        <v>6148.63</v>
      </c>
      <c r="Z58" t="s">
        <v>589</v>
      </c>
      <c r="AA58" t="s">
        <v>549</v>
      </c>
      <c r="AB58" t="s">
        <v>748</v>
      </c>
      <c r="AC58" t="s">
        <v>550</v>
      </c>
      <c r="AD58" t="s">
        <v>551</v>
      </c>
      <c r="BR58" t="s">
        <v>549</v>
      </c>
    </row>
    <row r="59" spans="1:70">
      <c r="A59" t="s">
        <v>2498</v>
      </c>
      <c r="B59" t="s">
        <v>2499</v>
      </c>
      <c r="C59" t="s">
        <v>2500</v>
      </c>
      <c r="D59" t="s">
        <v>2501</v>
      </c>
      <c r="E59" t="s">
        <v>2502</v>
      </c>
      <c r="F59">
        <v>1</v>
      </c>
      <c r="H59" t="s">
        <v>2503</v>
      </c>
      <c r="R59" t="s">
        <v>2504</v>
      </c>
      <c r="S59">
        <v>1</v>
      </c>
      <c r="T59" t="s">
        <v>1268</v>
      </c>
      <c r="U59" t="s">
        <v>547</v>
      </c>
      <c r="V59">
        <v>2409.38</v>
      </c>
      <c r="W59">
        <v>2409.38</v>
      </c>
      <c r="Z59" t="s">
        <v>1269</v>
      </c>
      <c r="AA59" t="s">
        <v>549</v>
      </c>
      <c r="AB59" t="s">
        <v>748</v>
      </c>
      <c r="AC59" t="s">
        <v>550</v>
      </c>
      <c r="AD59" t="s">
        <v>551</v>
      </c>
      <c r="BR59" t="s">
        <v>549</v>
      </c>
    </row>
    <row r="60" spans="1:70">
      <c r="A60" t="s">
        <v>2498</v>
      </c>
      <c r="B60" t="s">
        <v>2499</v>
      </c>
      <c r="C60" t="s">
        <v>2500</v>
      </c>
      <c r="D60" t="s">
        <v>2501</v>
      </c>
      <c r="E60" t="s">
        <v>2502</v>
      </c>
      <c r="F60">
        <v>1</v>
      </c>
      <c r="H60" t="s">
        <v>2503</v>
      </c>
      <c r="R60" t="s">
        <v>2504</v>
      </c>
      <c r="S60">
        <v>1</v>
      </c>
      <c r="T60" t="s">
        <v>649</v>
      </c>
      <c r="U60" t="s">
        <v>547</v>
      </c>
      <c r="V60">
        <v>4930.8500000000004</v>
      </c>
      <c r="W60">
        <v>4930.8500000000004</v>
      </c>
      <c r="Z60" t="s">
        <v>650</v>
      </c>
      <c r="AA60" t="s">
        <v>549</v>
      </c>
      <c r="AB60" t="s">
        <v>748</v>
      </c>
      <c r="AC60" t="s">
        <v>550</v>
      </c>
      <c r="AD60" t="s">
        <v>551</v>
      </c>
      <c r="BR60" t="s">
        <v>549</v>
      </c>
    </row>
    <row r="61" spans="1:70">
      <c r="A61" t="s">
        <v>2498</v>
      </c>
      <c r="B61" t="s">
        <v>2499</v>
      </c>
      <c r="C61" t="s">
        <v>2500</v>
      </c>
      <c r="D61" t="s">
        <v>2501</v>
      </c>
      <c r="E61" t="s">
        <v>2502</v>
      </c>
      <c r="F61">
        <v>1</v>
      </c>
      <c r="H61" t="s">
        <v>2503</v>
      </c>
      <c r="R61" t="s">
        <v>2504</v>
      </c>
      <c r="S61">
        <v>1</v>
      </c>
      <c r="T61" t="s">
        <v>1804</v>
      </c>
      <c r="U61" t="s">
        <v>547</v>
      </c>
      <c r="V61">
        <v>2352.5700000000002</v>
      </c>
      <c r="W61">
        <v>2352.5700000000002</v>
      </c>
      <c r="Z61" t="s">
        <v>1805</v>
      </c>
      <c r="AA61" t="s">
        <v>549</v>
      </c>
      <c r="AB61" t="s">
        <v>748</v>
      </c>
      <c r="AC61" t="s">
        <v>550</v>
      </c>
      <c r="AD61" t="s">
        <v>551</v>
      </c>
      <c r="BR61" t="s">
        <v>549</v>
      </c>
    </row>
    <row r="62" spans="1:70">
      <c r="A62" t="s">
        <v>2515</v>
      </c>
      <c r="B62" t="s">
        <v>207</v>
      </c>
      <c r="C62" t="s">
        <v>1076</v>
      </c>
      <c r="D62" t="s">
        <v>1077</v>
      </c>
      <c r="E62" t="s">
        <v>209</v>
      </c>
      <c r="F62">
        <v>3</v>
      </c>
      <c r="G62" t="s">
        <v>539</v>
      </c>
      <c r="H62" t="s">
        <v>2516</v>
      </c>
      <c r="I62" t="s">
        <v>748</v>
      </c>
      <c r="J62" t="s">
        <v>542</v>
      </c>
      <c r="K62">
        <v>6428.24</v>
      </c>
      <c r="L62">
        <v>800</v>
      </c>
      <c r="M62" t="s">
        <v>543</v>
      </c>
      <c r="N62" t="s">
        <v>544</v>
      </c>
      <c r="O62">
        <v>196.98</v>
      </c>
      <c r="P62">
        <v>7228.24</v>
      </c>
      <c r="R62" t="s">
        <v>2517</v>
      </c>
      <c r="S62">
        <v>2</v>
      </c>
      <c r="T62" t="s">
        <v>659</v>
      </c>
      <c r="U62" t="s">
        <v>547</v>
      </c>
      <c r="V62">
        <v>3214.12</v>
      </c>
      <c r="W62">
        <v>3214.12</v>
      </c>
      <c r="Z62" t="s">
        <v>660</v>
      </c>
      <c r="AA62" t="s">
        <v>549</v>
      </c>
      <c r="AB62" t="s">
        <v>748</v>
      </c>
      <c r="AC62" t="s">
        <v>550</v>
      </c>
      <c r="AD62" t="s">
        <v>551</v>
      </c>
      <c r="AE62" t="s">
        <v>1080</v>
      </c>
      <c r="AF62" t="s">
        <v>1081</v>
      </c>
      <c r="AG62" t="s">
        <v>1082</v>
      </c>
      <c r="AI62" t="s">
        <v>577</v>
      </c>
      <c r="AJ62" t="s">
        <v>1083</v>
      </c>
      <c r="AK62" t="s">
        <v>556</v>
      </c>
      <c r="AM62" t="s">
        <v>579</v>
      </c>
      <c r="AN62" t="s">
        <v>558</v>
      </c>
      <c r="AO62" t="s">
        <v>208</v>
      </c>
      <c r="AP62" t="s">
        <v>549</v>
      </c>
      <c r="AQ62" t="s">
        <v>549</v>
      </c>
      <c r="AR62" t="s">
        <v>1084</v>
      </c>
      <c r="AS62" t="s">
        <v>1080</v>
      </c>
      <c r="AT62" t="s">
        <v>1081</v>
      </c>
      <c r="AU62" t="s">
        <v>1082</v>
      </c>
      <c r="AW62" t="s">
        <v>577</v>
      </c>
      <c r="AX62" t="s">
        <v>1083</v>
      </c>
      <c r="AY62" t="s">
        <v>556</v>
      </c>
      <c r="BA62" t="s">
        <v>579</v>
      </c>
      <c r="BB62" t="s">
        <v>558</v>
      </c>
      <c r="BC62" t="s">
        <v>208</v>
      </c>
      <c r="BD62" t="s">
        <v>1084</v>
      </c>
      <c r="BH62" t="s">
        <v>560</v>
      </c>
      <c r="BI62" t="s">
        <v>561</v>
      </c>
      <c r="BK62" t="s">
        <v>607</v>
      </c>
      <c r="BL62" t="s">
        <v>562</v>
      </c>
      <c r="BM62" t="s">
        <v>2518</v>
      </c>
      <c r="BN62">
        <v>1</v>
      </c>
      <c r="BO62">
        <v>63.65</v>
      </c>
      <c r="BP62">
        <v>20</v>
      </c>
      <c r="BQ62">
        <v>133.33000000000001</v>
      </c>
      <c r="BR62" t="s">
        <v>549</v>
      </c>
    </row>
    <row r="63" spans="1:70">
      <c r="A63" t="s">
        <v>2519</v>
      </c>
      <c r="B63" t="s">
        <v>43</v>
      </c>
      <c r="C63" t="s">
        <v>537</v>
      </c>
      <c r="D63" t="s">
        <v>538</v>
      </c>
      <c r="E63" t="s">
        <v>45</v>
      </c>
      <c r="F63">
        <v>7</v>
      </c>
      <c r="G63" t="s">
        <v>539</v>
      </c>
      <c r="H63" t="s">
        <v>2520</v>
      </c>
      <c r="I63" t="s">
        <v>748</v>
      </c>
      <c r="J63" t="s">
        <v>542</v>
      </c>
      <c r="K63">
        <v>7320.76</v>
      </c>
      <c r="L63">
        <v>800</v>
      </c>
      <c r="M63" t="s">
        <v>543</v>
      </c>
      <c r="N63" t="s">
        <v>544</v>
      </c>
      <c r="O63">
        <v>198.56</v>
      </c>
      <c r="P63">
        <v>7388.68</v>
      </c>
      <c r="Q63">
        <v>732.08</v>
      </c>
      <c r="R63" t="s">
        <v>2521</v>
      </c>
      <c r="S63">
        <v>1</v>
      </c>
      <c r="T63" t="s">
        <v>546</v>
      </c>
      <c r="U63" t="s">
        <v>547</v>
      </c>
      <c r="V63">
        <v>3471.08</v>
      </c>
      <c r="W63">
        <v>3856.76</v>
      </c>
      <c r="Z63" t="s">
        <v>548</v>
      </c>
      <c r="AA63" t="s">
        <v>549</v>
      </c>
      <c r="AB63" t="s">
        <v>748</v>
      </c>
      <c r="AC63" t="s">
        <v>550</v>
      </c>
      <c r="AD63" t="s">
        <v>551</v>
      </c>
      <c r="AE63" t="s">
        <v>43</v>
      </c>
      <c r="AF63" t="s">
        <v>552</v>
      </c>
      <c r="AG63" t="s">
        <v>553</v>
      </c>
      <c r="AI63" t="s">
        <v>554</v>
      </c>
      <c r="AJ63" t="s">
        <v>555</v>
      </c>
      <c r="AK63" t="s">
        <v>556</v>
      </c>
      <c r="AM63" t="s">
        <v>557</v>
      </c>
      <c r="AN63" t="s">
        <v>558</v>
      </c>
      <c r="AO63" t="s">
        <v>44</v>
      </c>
      <c r="AP63" t="s">
        <v>549</v>
      </c>
      <c r="AQ63" t="s">
        <v>549</v>
      </c>
      <c r="AR63" t="s">
        <v>559</v>
      </c>
      <c r="AS63" t="s">
        <v>43</v>
      </c>
      <c r="AT63" t="s">
        <v>552</v>
      </c>
      <c r="AU63" t="s">
        <v>553</v>
      </c>
      <c r="AW63" t="s">
        <v>554</v>
      </c>
      <c r="AX63" t="s">
        <v>555</v>
      </c>
      <c r="AY63" t="s">
        <v>556</v>
      </c>
      <c r="BA63" t="s">
        <v>557</v>
      </c>
      <c r="BB63" t="s">
        <v>558</v>
      </c>
      <c r="BC63" t="s">
        <v>44</v>
      </c>
      <c r="BD63" t="s">
        <v>559</v>
      </c>
      <c r="BH63" t="s">
        <v>560</v>
      </c>
      <c r="BI63" t="s">
        <v>561</v>
      </c>
      <c r="BK63" t="s">
        <v>607</v>
      </c>
      <c r="BL63" t="s">
        <v>562</v>
      </c>
      <c r="BM63" t="s">
        <v>2522</v>
      </c>
      <c r="BN63">
        <v>1</v>
      </c>
      <c r="BO63">
        <v>65.23</v>
      </c>
      <c r="BP63">
        <v>20</v>
      </c>
      <c r="BQ63">
        <v>133.33000000000001</v>
      </c>
      <c r="BR63" t="s">
        <v>549</v>
      </c>
    </row>
    <row r="64" spans="1:70">
      <c r="A64" t="s">
        <v>2519</v>
      </c>
      <c r="B64" t="s">
        <v>43</v>
      </c>
      <c r="C64" t="s">
        <v>537</v>
      </c>
      <c r="D64" t="s">
        <v>538</v>
      </c>
      <c r="E64" t="s">
        <v>45</v>
      </c>
      <c r="F64">
        <v>7</v>
      </c>
      <c r="H64" t="s">
        <v>2520</v>
      </c>
      <c r="R64" t="s">
        <v>2521</v>
      </c>
      <c r="S64">
        <v>1</v>
      </c>
      <c r="T64" t="s">
        <v>1213</v>
      </c>
      <c r="U64" t="s">
        <v>547</v>
      </c>
      <c r="V64">
        <v>3117.6</v>
      </c>
      <c r="W64">
        <v>3464</v>
      </c>
      <c r="Z64" t="s">
        <v>1214</v>
      </c>
      <c r="AA64" t="s">
        <v>549</v>
      </c>
      <c r="AB64" t="s">
        <v>748</v>
      </c>
      <c r="AC64" t="s">
        <v>550</v>
      </c>
      <c r="AD64" t="s">
        <v>551</v>
      </c>
      <c r="BR64" t="s">
        <v>549</v>
      </c>
    </row>
    <row r="65" spans="1:70">
      <c r="A65" t="s">
        <v>536</v>
      </c>
      <c r="B65" t="s">
        <v>43</v>
      </c>
      <c r="C65" t="s">
        <v>537</v>
      </c>
      <c r="D65" t="s">
        <v>538</v>
      </c>
      <c r="E65" t="s">
        <v>45</v>
      </c>
      <c r="F65">
        <v>6</v>
      </c>
      <c r="G65" t="s">
        <v>1140</v>
      </c>
      <c r="H65" t="s">
        <v>540</v>
      </c>
      <c r="I65" t="s">
        <v>1142</v>
      </c>
      <c r="J65" t="s">
        <v>542</v>
      </c>
      <c r="K65">
        <v>6758.54</v>
      </c>
      <c r="L65">
        <v>800</v>
      </c>
      <c r="M65" t="s">
        <v>543</v>
      </c>
      <c r="N65" t="s">
        <v>544</v>
      </c>
      <c r="O65">
        <v>193.55</v>
      </c>
      <c r="P65">
        <v>6882.68</v>
      </c>
      <c r="Q65">
        <v>675.86</v>
      </c>
      <c r="R65" t="s">
        <v>545</v>
      </c>
      <c r="S65">
        <v>1</v>
      </c>
      <c r="T65" t="s">
        <v>546</v>
      </c>
      <c r="U65" t="s">
        <v>547</v>
      </c>
      <c r="V65">
        <v>3471.08</v>
      </c>
      <c r="W65">
        <v>3856.76</v>
      </c>
      <c r="Z65" t="s">
        <v>548</v>
      </c>
      <c r="AA65" t="s">
        <v>549</v>
      </c>
      <c r="AB65" t="s">
        <v>1142</v>
      </c>
      <c r="AC65" t="s">
        <v>550</v>
      </c>
      <c r="AD65" t="s">
        <v>551</v>
      </c>
      <c r="AE65" t="s">
        <v>43</v>
      </c>
      <c r="AF65" t="s">
        <v>552</v>
      </c>
      <c r="AG65" t="s">
        <v>553</v>
      </c>
      <c r="AI65" t="s">
        <v>554</v>
      </c>
      <c r="AJ65" t="s">
        <v>555</v>
      </c>
      <c r="AK65" t="s">
        <v>556</v>
      </c>
      <c r="AM65" t="s">
        <v>557</v>
      </c>
      <c r="AN65" t="s">
        <v>558</v>
      </c>
      <c r="AO65" t="s">
        <v>44</v>
      </c>
      <c r="AP65" t="s">
        <v>549</v>
      </c>
      <c r="AQ65" t="s">
        <v>549</v>
      </c>
      <c r="AR65" t="s">
        <v>559</v>
      </c>
      <c r="AS65" t="s">
        <v>43</v>
      </c>
      <c r="AT65" t="s">
        <v>552</v>
      </c>
      <c r="AU65" t="s">
        <v>553</v>
      </c>
      <c r="AW65" t="s">
        <v>554</v>
      </c>
      <c r="AX65" t="s">
        <v>555</v>
      </c>
      <c r="AY65" t="s">
        <v>556</v>
      </c>
      <c r="BA65" t="s">
        <v>557</v>
      </c>
      <c r="BB65" t="s">
        <v>558</v>
      </c>
      <c r="BC65" t="s">
        <v>44</v>
      </c>
      <c r="BD65" t="s">
        <v>559</v>
      </c>
      <c r="BH65" t="s">
        <v>560</v>
      </c>
      <c r="BI65" t="s">
        <v>561</v>
      </c>
      <c r="BK65" t="s">
        <v>607</v>
      </c>
      <c r="BL65" t="s">
        <v>562</v>
      </c>
      <c r="BM65" t="s">
        <v>563</v>
      </c>
      <c r="BN65">
        <v>1</v>
      </c>
      <c r="BO65">
        <v>60.22</v>
      </c>
      <c r="BP65">
        <v>20</v>
      </c>
      <c r="BQ65">
        <v>133.33000000000001</v>
      </c>
      <c r="BR65" t="s">
        <v>549</v>
      </c>
    </row>
    <row r="66" spans="1:70">
      <c r="A66" t="s">
        <v>536</v>
      </c>
      <c r="B66" t="s">
        <v>43</v>
      </c>
      <c r="C66" t="s">
        <v>537</v>
      </c>
      <c r="D66" t="s">
        <v>538</v>
      </c>
      <c r="E66" t="s">
        <v>45</v>
      </c>
      <c r="F66">
        <v>6</v>
      </c>
      <c r="H66" t="s">
        <v>540</v>
      </c>
      <c r="R66" t="s">
        <v>545</v>
      </c>
      <c r="S66">
        <v>1</v>
      </c>
      <c r="T66" t="s">
        <v>564</v>
      </c>
      <c r="U66" t="s">
        <v>547</v>
      </c>
      <c r="V66">
        <v>2611.6</v>
      </c>
      <c r="W66">
        <v>2901.78</v>
      </c>
      <c r="Z66" t="s">
        <v>565</v>
      </c>
      <c r="AA66" t="s">
        <v>549</v>
      </c>
      <c r="AB66" t="s">
        <v>1142</v>
      </c>
      <c r="AC66" t="s">
        <v>550</v>
      </c>
      <c r="AD66" t="s">
        <v>551</v>
      </c>
      <c r="BR66" t="s">
        <v>549</v>
      </c>
    </row>
    <row r="67" spans="1:70">
      <c r="A67" t="s">
        <v>566</v>
      </c>
      <c r="B67" t="s">
        <v>32</v>
      </c>
      <c r="C67" t="s">
        <v>567</v>
      </c>
      <c r="D67" t="s">
        <v>568</v>
      </c>
      <c r="E67" t="s">
        <v>34</v>
      </c>
      <c r="F67">
        <v>11</v>
      </c>
      <c r="G67" t="s">
        <v>539</v>
      </c>
      <c r="H67" t="s">
        <v>569</v>
      </c>
      <c r="I67" t="s">
        <v>748</v>
      </c>
      <c r="J67" t="s">
        <v>542</v>
      </c>
      <c r="K67">
        <v>84057.31</v>
      </c>
      <c r="L67">
        <v>0</v>
      </c>
      <c r="M67" t="s">
        <v>570</v>
      </c>
      <c r="N67" t="s">
        <v>544</v>
      </c>
      <c r="O67">
        <v>749.03</v>
      </c>
      <c r="P67">
        <v>75651.600000000006</v>
      </c>
      <c r="Q67">
        <v>8405.7099999999991</v>
      </c>
      <c r="R67" t="s">
        <v>571</v>
      </c>
      <c r="S67">
        <v>3</v>
      </c>
      <c r="T67" t="s">
        <v>572</v>
      </c>
      <c r="U67" t="s">
        <v>547</v>
      </c>
      <c r="V67">
        <v>5485.04</v>
      </c>
      <c r="W67">
        <v>6094.49</v>
      </c>
      <c r="Z67" t="s">
        <v>573</v>
      </c>
      <c r="AA67" t="s">
        <v>549</v>
      </c>
      <c r="AB67" t="s">
        <v>748</v>
      </c>
      <c r="AC67" t="s">
        <v>550</v>
      </c>
      <c r="AD67" t="s">
        <v>551</v>
      </c>
      <c r="AE67" t="s">
        <v>32</v>
      </c>
      <c r="AF67" t="s">
        <v>574</v>
      </c>
      <c r="AG67" t="s">
        <v>575</v>
      </c>
      <c r="AH67" t="s">
        <v>576</v>
      </c>
      <c r="AI67" t="s">
        <v>577</v>
      </c>
      <c r="AJ67" t="s">
        <v>578</v>
      </c>
      <c r="AK67" t="s">
        <v>556</v>
      </c>
      <c r="AM67" t="s">
        <v>579</v>
      </c>
      <c r="AN67" t="s">
        <v>558</v>
      </c>
      <c r="AO67" t="s">
        <v>33</v>
      </c>
      <c r="AP67" t="s">
        <v>580</v>
      </c>
      <c r="AQ67" t="s">
        <v>581</v>
      </c>
      <c r="AR67" t="s">
        <v>582</v>
      </c>
      <c r="AS67" t="s">
        <v>32</v>
      </c>
      <c r="AT67" t="s">
        <v>574</v>
      </c>
      <c r="AU67" t="s">
        <v>575</v>
      </c>
      <c r="AV67" t="s">
        <v>576</v>
      </c>
      <c r="AW67" t="s">
        <v>577</v>
      </c>
      <c r="AX67" t="s">
        <v>578</v>
      </c>
      <c r="AY67" t="s">
        <v>556</v>
      </c>
      <c r="BA67" t="s">
        <v>579</v>
      </c>
      <c r="BB67" t="s">
        <v>558</v>
      </c>
      <c r="BC67" t="s">
        <v>33</v>
      </c>
      <c r="BD67" t="s">
        <v>582</v>
      </c>
      <c r="BH67" t="s">
        <v>560</v>
      </c>
      <c r="BI67" t="s">
        <v>561</v>
      </c>
      <c r="BK67" t="s">
        <v>607</v>
      </c>
      <c r="BL67" t="s">
        <v>562</v>
      </c>
      <c r="BM67" t="s">
        <v>583</v>
      </c>
      <c r="BN67">
        <v>1</v>
      </c>
      <c r="BO67">
        <v>749.03</v>
      </c>
      <c r="BR67" t="s">
        <v>549</v>
      </c>
    </row>
    <row r="68" spans="1:70">
      <c r="A68" t="s">
        <v>566</v>
      </c>
      <c r="B68" t="s">
        <v>32</v>
      </c>
      <c r="C68" t="s">
        <v>567</v>
      </c>
      <c r="D68" t="s">
        <v>568</v>
      </c>
      <c r="E68" t="s">
        <v>34</v>
      </c>
      <c r="F68">
        <v>11</v>
      </c>
      <c r="H68" t="s">
        <v>569</v>
      </c>
      <c r="R68" t="s">
        <v>571</v>
      </c>
      <c r="S68">
        <v>2</v>
      </c>
      <c r="T68" t="s">
        <v>584</v>
      </c>
      <c r="U68" t="s">
        <v>547</v>
      </c>
      <c r="V68">
        <v>2896.89</v>
      </c>
      <c r="W68">
        <v>3218.77</v>
      </c>
      <c r="Z68" t="s">
        <v>585</v>
      </c>
      <c r="AA68" t="s">
        <v>549</v>
      </c>
      <c r="AB68" t="s">
        <v>748</v>
      </c>
      <c r="AC68" t="s">
        <v>550</v>
      </c>
      <c r="AD68" t="s">
        <v>551</v>
      </c>
      <c r="BR68" t="s">
        <v>549</v>
      </c>
    </row>
    <row r="69" spans="1:70">
      <c r="A69" t="s">
        <v>566</v>
      </c>
      <c r="B69" t="s">
        <v>32</v>
      </c>
      <c r="C69" t="s">
        <v>567</v>
      </c>
      <c r="D69" t="s">
        <v>568</v>
      </c>
      <c r="E69" t="s">
        <v>34</v>
      </c>
      <c r="F69">
        <v>11</v>
      </c>
      <c r="H69" t="s">
        <v>569</v>
      </c>
      <c r="R69" t="s">
        <v>571</v>
      </c>
      <c r="S69">
        <v>5</v>
      </c>
      <c r="T69" t="s">
        <v>586</v>
      </c>
      <c r="U69" t="s">
        <v>547</v>
      </c>
      <c r="V69">
        <v>5146.7700000000004</v>
      </c>
      <c r="W69">
        <v>5718.63</v>
      </c>
      <c r="Z69" t="s">
        <v>587</v>
      </c>
      <c r="AA69" t="s">
        <v>549</v>
      </c>
      <c r="AB69" t="s">
        <v>748</v>
      </c>
      <c r="AC69" t="s">
        <v>550</v>
      </c>
      <c r="AD69" t="s">
        <v>551</v>
      </c>
      <c r="BR69" t="s">
        <v>549</v>
      </c>
    </row>
    <row r="70" spans="1:70">
      <c r="A70" t="s">
        <v>566</v>
      </c>
      <c r="B70" t="s">
        <v>32</v>
      </c>
      <c r="C70" t="s">
        <v>567</v>
      </c>
      <c r="D70" t="s">
        <v>568</v>
      </c>
      <c r="E70" t="s">
        <v>34</v>
      </c>
      <c r="F70">
        <v>11</v>
      </c>
      <c r="H70" t="s">
        <v>569</v>
      </c>
      <c r="R70" t="s">
        <v>571</v>
      </c>
      <c r="S70">
        <v>5</v>
      </c>
      <c r="T70" t="s">
        <v>588</v>
      </c>
      <c r="U70" t="s">
        <v>547</v>
      </c>
      <c r="V70">
        <v>5533.77</v>
      </c>
      <c r="W70">
        <v>6148.63</v>
      </c>
      <c r="Z70" t="s">
        <v>589</v>
      </c>
      <c r="AA70" t="s">
        <v>549</v>
      </c>
      <c r="AB70" t="s">
        <v>748</v>
      </c>
      <c r="AC70" t="s">
        <v>550</v>
      </c>
      <c r="AD70" t="s">
        <v>551</v>
      </c>
      <c r="BR70" t="s">
        <v>549</v>
      </c>
    </row>
    <row r="71" spans="1:70">
      <c r="A71" t="s">
        <v>590</v>
      </c>
      <c r="B71" t="s">
        <v>274</v>
      </c>
      <c r="C71" t="s">
        <v>591</v>
      </c>
      <c r="D71" t="s">
        <v>592</v>
      </c>
      <c r="E71" t="s">
        <v>276</v>
      </c>
      <c r="F71">
        <v>2</v>
      </c>
      <c r="G71" t="s">
        <v>539</v>
      </c>
      <c r="H71" t="s">
        <v>593</v>
      </c>
      <c r="I71" t="s">
        <v>748</v>
      </c>
      <c r="J71" t="s">
        <v>542</v>
      </c>
      <c r="K71">
        <v>29427.61</v>
      </c>
      <c r="L71">
        <v>0</v>
      </c>
      <c r="M71" t="s">
        <v>570</v>
      </c>
      <c r="N71" t="s">
        <v>544</v>
      </c>
      <c r="O71">
        <v>276.79000000000002</v>
      </c>
      <c r="P71">
        <v>27956.23</v>
      </c>
      <c r="Q71">
        <v>1471.38</v>
      </c>
      <c r="R71" t="s">
        <v>594</v>
      </c>
      <c r="S71">
        <v>2</v>
      </c>
      <c r="T71" t="s">
        <v>595</v>
      </c>
      <c r="U71" t="s">
        <v>547</v>
      </c>
      <c r="V71">
        <v>7047.68</v>
      </c>
      <c r="W71">
        <v>7418.61</v>
      </c>
      <c r="Z71" t="s">
        <v>596</v>
      </c>
      <c r="AA71" t="s">
        <v>549</v>
      </c>
      <c r="AB71" t="s">
        <v>748</v>
      </c>
      <c r="AC71" t="s">
        <v>550</v>
      </c>
      <c r="AD71" t="s">
        <v>551</v>
      </c>
      <c r="AE71" t="s">
        <v>597</v>
      </c>
      <c r="AF71" t="s">
        <v>598</v>
      </c>
      <c r="AG71" t="s">
        <v>599</v>
      </c>
      <c r="AH71" t="s">
        <v>600</v>
      </c>
      <c r="AI71" t="s">
        <v>601</v>
      </c>
      <c r="AJ71" t="s">
        <v>602</v>
      </c>
      <c r="AK71" t="s">
        <v>556</v>
      </c>
      <c r="AM71" t="s">
        <v>603</v>
      </c>
      <c r="AN71" t="s">
        <v>558</v>
      </c>
      <c r="AO71" t="s">
        <v>275</v>
      </c>
      <c r="AP71" t="s">
        <v>604</v>
      </c>
      <c r="AQ71" t="s">
        <v>605</v>
      </c>
      <c r="AR71" t="s">
        <v>606</v>
      </c>
      <c r="AS71" t="s">
        <v>597</v>
      </c>
      <c r="AT71" t="s">
        <v>598</v>
      </c>
      <c r="AU71" t="s">
        <v>599</v>
      </c>
      <c r="AV71" t="s">
        <v>600</v>
      </c>
      <c r="AW71" t="s">
        <v>601</v>
      </c>
      <c r="AX71" t="s">
        <v>602</v>
      </c>
      <c r="AY71" t="s">
        <v>556</v>
      </c>
      <c r="BA71" t="s">
        <v>603</v>
      </c>
      <c r="BB71" t="s">
        <v>558</v>
      </c>
      <c r="BC71" t="s">
        <v>275</v>
      </c>
      <c r="BD71" t="s">
        <v>606</v>
      </c>
      <c r="BH71" t="s">
        <v>560</v>
      </c>
      <c r="BI71" t="s">
        <v>561</v>
      </c>
      <c r="BK71" t="s">
        <v>607</v>
      </c>
      <c r="BL71" t="s">
        <v>562</v>
      </c>
      <c r="BM71" t="s">
        <v>608</v>
      </c>
      <c r="BN71">
        <v>1</v>
      </c>
      <c r="BO71">
        <v>276.79000000000002</v>
      </c>
      <c r="BR71" t="s">
        <v>549</v>
      </c>
    </row>
    <row r="72" spans="1:70">
      <c r="A72" t="s">
        <v>590</v>
      </c>
      <c r="B72" t="s">
        <v>274</v>
      </c>
      <c r="C72" t="s">
        <v>591</v>
      </c>
      <c r="D72" t="s">
        <v>592</v>
      </c>
      <c r="E72" t="s">
        <v>276</v>
      </c>
      <c r="F72">
        <v>2</v>
      </c>
      <c r="H72" t="s">
        <v>593</v>
      </c>
      <c r="R72" t="s">
        <v>594</v>
      </c>
      <c r="S72">
        <v>1</v>
      </c>
      <c r="T72" t="s">
        <v>588</v>
      </c>
      <c r="U72" t="s">
        <v>547</v>
      </c>
      <c r="V72">
        <v>5841.2</v>
      </c>
      <c r="W72">
        <v>6148.63</v>
      </c>
      <c r="Z72" t="s">
        <v>589</v>
      </c>
      <c r="AA72" t="s">
        <v>549</v>
      </c>
      <c r="AB72" t="s">
        <v>748</v>
      </c>
      <c r="AC72" t="s">
        <v>550</v>
      </c>
      <c r="AD72" t="s">
        <v>551</v>
      </c>
      <c r="BR72" t="s">
        <v>549</v>
      </c>
    </row>
    <row r="73" spans="1:70">
      <c r="A73" t="s">
        <v>590</v>
      </c>
      <c r="B73" t="s">
        <v>274</v>
      </c>
      <c r="C73" t="s">
        <v>591</v>
      </c>
      <c r="D73" t="s">
        <v>592</v>
      </c>
      <c r="E73" t="s">
        <v>276</v>
      </c>
      <c r="F73">
        <v>2</v>
      </c>
      <c r="H73" t="s">
        <v>593</v>
      </c>
      <c r="R73" t="s">
        <v>594</v>
      </c>
      <c r="S73">
        <v>1</v>
      </c>
      <c r="T73" t="s">
        <v>584</v>
      </c>
      <c r="U73" t="s">
        <v>547</v>
      </c>
      <c r="V73">
        <v>3057.83</v>
      </c>
      <c r="W73">
        <v>3218.77</v>
      </c>
      <c r="Z73" t="s">
        <v>585</v>
      </c>
      <c r="AA73" t="s">
        <v>549</v>
      </c>
      <c r="AB73" t="s">
        <v>748</v>
      </c>
      <c r="AC73" t="s">
        <v>550</v>
      </c>
      <c r="AD73" t="s">
        <v>551</v>
      </c>
      <c r="BR73" t="s">
        <v>549</v>
      </c>
    </row>
    <row r="74" spans="1:70">
      <c r="A74" t="s">
        <v>590</v>
      </c>
      <c r="B74" t="s">
        <v>274</v>
      </c>
      <c r="C74" t="s">
        <v>591</v>
      </c>
      <c r="D74" t="s">
        <v>592</v>
      </c>
      <c r="E74" t="s">
        <v>276</v>
      </c>
      <c r="F74">
        <v>2</v>
      </c>
      <c r="H74" t="s">
        <v>593</v>
      </c>
      <c r="R74" t="s">
        <v>594</v>
      </c>
      <c r="S74">
        <v>1</v>
      </c>
      <c r="T74" t="s">
        <v>609</v>
      </c>
      <c r="U74" t="s">
        <v>547</v>
      </c>
      <c r="V74">
        <v>4961.84</v>
      </c>
      <c r="W74">
        <v>5222.99</v>
      </c>
      <c r="Z74" t="s">
        <v>610</v>
      </c>
      <c r="AA74" t="s">
        <v>549</v>
      </c>
      <c r="AB74" t="s">
        <v>748</v>
      </c>
      <c r="AC74" t="s">
        <v>550</v>
      </c>
      <c r="AD74" t="s">
        <v>551</v>
      </c>
      <c r="BR74" t="s">
        <v>549</v>
      </c>
    </row>
    <row r="75" spans="1:70">
      <c r="A75" t="s">
        <v>611</v>
      </c>
      <c r="B75" t="s">
        <v>359</v>
      </c>
      <c r="C75" t="s">
        <v>612</v>
      </c>
      <c r="D75" t="s">
        <v>613</v>
      </c>
      <c r="E75" t="s">
        <v>360</v>
      </c>
      <c r="F75">
        <v>1</v>
      </c>
      <c r="G75" t="s">
        <v>539</v>
      </c>
      <c r="H75" t="s">
        <v>614</v>
      </c>
      <c r="I75" t="s">
        <v>748</v>
      </c>
      <c r="J75" t="s">
        <v>542</v>
      </c>
      <c r="K75">
        <v>20443.3</v>
      </c>
      <c r="L75">
        <v>0</v>
      </c>
      <c r="M75" t="s">
        <v>570</v>
      </c>
      <c r="N75" t="s">
        <v>544</v>
      </c>
      <c r="O75">
        <v>202.41</v>
      </c>
      <c r="P75">
        <v>20443.3</v>
      </c>
      <c r="R75" t="s">
        <v>615</v>
      </c>
      <c r="S75">
        <v>2</v>
      </c>
      <c r="T75" t="s">
        <v>616</v>
      </c>
      <c r="U75" t="s">
        <v>547</v>
      </c>
      <c r="V75">
        <v>2094.4</v>
      </c>
      <c r="W75">
        <v>2094.4</v>
      </c>
      <c r="Z75" t="s">
        <v>617</v>
      </c>
      <c r="AA75" t="s">
        <v>549</v>
      </c>
      <c r="AB75" t="s">
        <v>748</v>
      </c>
      <c r="AC75" t="s">
        <v>550</v>
      </c>
      <c r="AD75" t="s">
        <v>551</v>
      </c>
      <c r="AE75" t="s">
        <v>359</v>
      </c>
      <c r="AF75" t="s">
        <v>618</v>
      </c>
      <c r="AG75" t="s">
        <v>619</v>
      </c>
      <c r="AH75" t="s">
        <v>620</v>
      </c>
      <c r="AI75" t="s">
        <v>621</v>
      </c>
      <c r="AJ75" t="s">
        <v>622</v>
      </c>
      <c r="AK75" t="s">
        <v>556</v>
      </c>
      <c r="AM75" t="s">
        <v>623</v>
      </c>
      <c r="AN75" t="s">
        <v>558</v>
      </c>
      <c r="AO75" t="s">
        <v>624</v>
      </c>
      <c r="AP75" t="s">
        <v>625</v>
      </c>
      <c r="AQ75" t="s">
        <v>626</v>
      </c>
      <c r="AR75" t="s">
        <v>625</v>
      </c>
      <c r="AS75" t="s">
        <v>359</v>
      </c>
      <c r="AT75" t="s">
        <v>618</v>
      </c>
      <c r="AU75" t="s">
        <v>619</v>
      </c>
      <c r="AV75" t="s">
        <v>620</v>
      </c>
      <c r="AW75" t="s">
        <v>621</v>
      </c>
      <c r="AX75" t="s">
        <v>622</v>
      </c>
      <c r="AY75" t="s">
        <v>556</v>
      </c>
      <c r="BA75" t="s">
        <v>623</v>
      </c>
      <c r="BB75" t="s">
        <v>558</v>
      </c>
      <c r="BC75" t="s">
        <v>624</v>
      </c>
      <c r="BD75" t="s">
        <v>625</v>
      </c>
      <c r="BH75" t="s">
        <v>560</v>
      </c>
      <c r="BI75" t="s">
        <v>561</v>
      </c>
      <c r="BK75" t="s">
        <v>607</v>
      </c>
      <c r="BL75" t="s">
        <v>562</v>
      </c>
      <c r="BM75" t="s">
        <v>627</v>
      </c>
      <c r="BN75">
        <v>1</v>
      </c>
      <c r="BO75">
        <v>202.41</v>
      </c>
      <c r="BR75" t="s">
        <v>549</v>
      </c>
    </row>
    <row r="76" spans="1:70">
      <c r="A76" t="s">
        <v>611</v>
      </c>
      <c r="B76" t="s">
        <v>359</v>
      </c>
      <c r="C76" t="s">
        <v>612</v>
      </c>
      <c r="D76" t="s">
        <v>613</v>
      </c>
      <c r="E76" t="s">
        <v>360</v>
      </c>
      <c r="F76">
        <v>1</v>
      </c>
      <c r="H76" t="s">
        <v>614</v>
      </c>
      <c r="R76" t="s">
        <v>615</v>
      </c>
      <c r="S76">
        <v>1</v>
      </c>
      <c r="T76" t="s">
        <v>628</v>
      </c>
      <c r="U76" t="s">
        <v>547</v>
      </c>
      <c r="V76">
        <v>6491.46</v>
      </c>
      <c r="W76">
        <v>6491.46</v>
      </c>
      <c r="Z76" t="s">
        <v>629</v>
      </c>
      <c r="AA76" t="s">
        <v>549</v>
      </c>
      <c r="AB76" t="s">
        <v>748</v>
      </c>
      <c r="AC76" t="s">
        <v>550</v>
      </c>
      <c r="AD76" t="s">
        <v>551</v>
      </c>
      <c r="BR76" t="s">
        <v>549</v>
      </c>
    </row>
    <row r="77" spans="1:70">
      <c r="A77" t="s">
        <v>611</v>
      </c>
      <c r="B77" t="s">
        <v>359</v>
      </c>
      <c r="C77" t="s">
        <v>612</v>
      </c>
      <c r="D77" t="s">
        <v>613</v>
      </c>
      <c r="E77" t="s">
        <v>360</v>
      </c>
      <c r="F77">
        <v>1</v>
      </c>
      <c r="H77" t="s">
        <v>614</v>
      </c>
      <c r="R77" t="s">
        <v>615</v>
      </c>
      <c r="S77">
        <v>1</v>
      </c>
      <c r="T77" t="s">
        <v>546</v>
      </c>
      <c r="U77" t="s">
        <v>547</v>
      </c>
      <c r="V77">
        <v>3856.76</v>
      </c>
      <c r="W77">
        <v>3856.76</v>
      </c>
      <c r="Z77" t="s">
        <v>548</v>
      </c>
      <c r="AA77" t="s">
        <v>549</v>
      </c>
      <c r="AB77" t="s">
        <v>748</v>
      </c>
      <c r="AC77" t="s">
        <v>550</v>
      </c>
      <c r="AD77" t="s">
        <v>551</v>
      </c>
      <c r="BR77" t="s">
        <v>549</v>
      </c>
    </row>
    <row r="78" spans="1:70">
      <c r="A78" t="s">
        <v>611</v>
      </c>
      <c r="B78" t="s">
        <v>359</v>
      </c>
      <c r="C78" t="s">
        <v>612</v>
      </c>
      <c r="D78" t="s">
        <v>613</v>
      </c>
      <c r="E78" t="s">
        <v>360</v>
      </c>
      <c r="F78">
        <v>1</v>
      </c>
      <c r="H78" t="s">
        <v>614</v>
      </c>
      <c r="R78" t="s">
        <v>615</v>
      </c>
      <c r="S78">
        <v>1</v>
      </c>
      <c r="T78" t="s">
        <v>630</v>
      </c>
      <c r="U78" t="s">
        <v>547</v>
      </c>
      <c r="V78">
        <v>3431.4</v>
      </c>
      <c r="W78">
        <v>3431.4</v>
      </c>
      <c r="Z78" t="s">
        <v>631</v>
      </c>
      <c r="AA78" t="s">
        <v>549</v>
      </c>
      <c r="AB78" t="s">
        <v>748</v>
      </c>
      <c r="AC78" t="s">
        <v>550</v>
      </c>
      <c r="AD78" t="s">
        <v>551</v>
      </c>
      <c r="BR78" t="s">
        <v>549</v>
      </c>
    </row>
    <row r="79" spans="1:70">
      <c r="A79" t="s">
        <v>611</v>
      </c>
      <c r="B79" t="s">
        <v>359</v>
      </c>
      <c r="C79" t="s">
        <v>612</v>
      </c>
      <c r="D79" t="s">
        <v>613</v>
      </c>
      <c r="E79" t="s">
        <v>360</v>
      </c>
      <c r="F79">
        <v>1</v>
      </c>
      <c r="H79" t="s">
        <v>614</v>
      </c>
      <c r="R79" t="s">
        <v>615</v>
      </c>
      <c r="S79">
        <v>1</v>
      </c>
      <c r="T79" t="s">
        <v>632</v>
      </c>
      <c r="U79" t="s">
        <v>547</v>
      </c>
      <c r="V79">
        <v>2474.88</v>
      </c>
      <c r="W79">
        <v>2474.88</v>
      </c>
      <c r="Z79" t="s">
        <v>633</v>
      </c>
      <c r="AA79" t="s">
        <v>549</v>
      </c>
      <c r="AB79" t="s">
        <v>748</v>
      </c>
      <c r="AC79" t="s">
        <v>550</v>
      </c>
      <c r="AD79" t="s">
        <v>551</v>
      </c>
      <c r="BR79" t="s">
        <v>549</v>
      </c>
    </row>
    <row r="80" spans="1:70">
      <c r="A80" t="s">
        <v>634</v>
      </c>
      <c r="B80" t="s">
        <v>357</v>
      </c>
      <c r="C80" t="s">
        <v>635</v>
      </c>
      <c r="D80" t="s">
        <v>636</v>
      </c>
      <c r="E80" t="s">
        <v>358</v>
      </c>
      <c r="F80">
        <v>1</v>
      </c>
      <c r="G80" t="s">
        <v>539</v>
      </c>
      <c r="H80" t="s">
        <v>637</v>
      </c>
      <c r="I80" t="s">
        <v>748</v>
      </c>
      <c r="J80" t="s">
        <v>542</v>
      </c>
      <c r="K80">
        <v>7418.61</v>
      </c>
      <c r="L80">
        <v>800</v>
      </c>
      <c r="M80" t="s">
        <v>543</v>
      </c>
      <c r="N80" t="s">
        <v>544</v>
      </c>
      <c r="O80">
        <v>206.78</v>
      </c>
      <c r="P80">
        <v>8218.61</v>
      </c>
      <c r="R80" t="s">
        <v>638</v>
      </c>
      <c r="S80">
        <v>1</v>
      </c>
      <c r="T80" t="s">
        <v>595</v>
      </c>
      <c r="U80" t="s">
        <v>547</v>
      </c>
      <c r="V80">
        <v>7418.61</v>
      </c>
      <c r="W80">
        <v>7418.61</v>
      </c>
      <c r="Z80" t="s">
        <v>596</v>
      </c>
      <c r="AA80" t="s">
        <v>549</v>
      </c>
      <c r="AB80" t="s">
        <v>748</v>
      </c>
      <c r="AC80" t="s">
        <v>550</v>
      </c>
      <c r="AD80" t="s">
        <v>551</v>
      </c>
      <c r="AE80" t="s">
        <v>357</v>
      </c>
      <c r="AF80" t="s">
        <v>639</v>
      </c>
      <c r="AI80" t="s">
        <v>554</v>
      </c>
      <c r="AJ80" t="s">
        <v>640</v>
      </c>
      <c r="AK80" t="s">
        <v>556</v>
      </c>
      <c r="AM80" t="s">
        <v>641</v>
      </c>
      <c r="AN80" t="s">
        <v>558</v>
      </c>
      <c r="AO80" t="s">
        <v>642</v>
      </c>
      <c r="AP80" t="s">
        <v>549</v>
      </c>
      <c r="AQ80" t="s">
        <v>549</v>
      </c>
      <c r="AR80" t="s">
        <v>549</v>
      </c>
      <c r="AS80" t="s">
        <v>357</v>
      </c>
      <c r="AT80" t="s">
        <v>639</v>
      </c>
      <c r="AW80" t="s">
        <v>554</v>
      </c>
      <c r="AX80" t="s">
        <v>640</v>
      </c>
      <c r="AY80" t="s">
        <v>556</v>
      </c>
      <c r="BA80" t="s">
        <v>641</v>
      </c>
      <c r="BB80" t="s">
        <v>558</v>
      </c>
      <c r="BC80" t="s">
        <v>642</v>
      </c>
      <c r="BD80" t="s">
        <v>549</v>
      </c>
      <c r="BH80" t="s">
        <v>560</v>
      </c>
      <c r="BI80" t="s">
        <v>561</v>
      </c>
      <c r="BK80" t="s">
        <v>607</v>
      </c>
      <c r="BL80" t="s">
        <v>562</v>
      </c>
      <c r="BM80" t="s">
        <v>643</v>
      </c>
      <c r="BN80">
        <v>1</v>
      </c>
      <c r="BO80">
        <v>73.45</v>
      </c>
      <c r="BP80">
        <v>20</v>
      </c>
      <c r="BQ80">
        <v>133.33000000000001</v>
      </c>
      <c r="BR80" t="s">
        <v>549</v>
      </c>
    </row>
    <row r="81" spans="1:70">
      <c r="A81" t="s">
        <v>644</v>
      </c>
      <c r="B81" t="s">
        <v>326</v>
      </c>
      <c r="C81" t="s">
        <v>645</v>
      </c>
      <c r="D81" t="s">
        <v>646</v>
      </c>
      <c r="E81" t="s">
        <v>328</v>
      </c>
      <c r="F81">
        <v>2</v>
      </c>
      <c r="G81" t="s">
        <v>539</v>
      </c>
      <c r="H81" t="s">
        <v>647</v>
      </c>
      <c r="I81" t="s">
        <v>748</v>
      </c>
      <c r="J81" t="s">
        <v>542</v>
      </c>
      <c r="K81">
        <v>8144.97</v>
      </c>
      <c r="L81">
        <v>800</v>
      </c>
      <c r="M81" t="s">
        <v>543</v>
      </c>
      <c r="N81" t="s">
        <v>544</v>
      </c>
      <c r="O81">
        <v>213.97</v>
      </c>
      <c r="P81">
        <v>8944.9699999999993</v>
      </c>
      <c r="R81" t="s">
        <v>648</v>
      </c>
      <c r="S81">
        <v>1</v>
      </c>
      <c r="T81" t="s">
        <v>649</v>
      </c>
      <c r="U81" t="s">
        <v>547</v>
      </c>
      <c r="V81">
        <v>4930.8500000000004</v>
      </c>
      <c r="W81">
        <v>4930.8500000000004</v>
      </c>
      <c r="Z81" t="s">
        <v>650</v>
      </c>
      <c r="AA81" t="s">
        <v>549</v>
      </c>
      <c r="AB81" t="s">
        <v>748</v>
      </c>
      <c r="AC81" t="s">
        <v>550</v>
      </c>
      <c r="AD81" t="s">
        <v>551</v>
      </c>
      <c r="AE81" t="s">
        <v>651</v>
      </c>
      <c r="AF81" t="s">
        <v>652</v>
      </c>
      <c r="AG81" t="s">
        <v>653</v>
      </c>
      <c r="AH81" t="s">
        <v>654</v>
      </c>
      <c r="AI81" t="s">
        <v>577</v>
      </c>
      <c r="AJ81" t="s">
        <v>655</v>
      </c>
      <c r="AK81" t="s">
        <v>556</v>
      </c>
      <c r="AM81" t="s">
        <v>579</v>
      </c>
      <c r="AN81" t="s">
        <v>558</v>
      </c>
      <c r="AO81" t="s">
        <v>327</v>
      </c>
      <c r="AP81" t="s">
        <v>656</v>
      </c>
      <c r="AQ81" t="s">
        <v>579</v>
      </c>
      <c r="AR81" t="s">
        <v>657</v>
      </c>
      <c r="AS81" t="s">
        <v>651</v>
      </c>
      <c r="AT81" t="s">
        <v>652</v>
      </c>
      <c r="AU81" t="s">
        <v>653</v>
      </c>
      <c r="AV81" t="s">
        <v>654</v>
      </c>
      <c r="AW81" t="s">
        <v>577</v>
      </c>
      <c r="AX81" t="s">
        <v>655</v>
      </c>
      <c r="AY81" t="s">
        <v>556</v>
      </c>
      <c r="BA81" t="s">
        <v>579</v>
      </c>
      <c r="BB81" t="s">
        <v>558</v>
      </c>
      <c r="BC81" t="s">
        <v>327</v>
      </c>
      <c r="BD81" t="s">
        <v>657</v>
      </c>
      <c r="BH81" t="s">
        <v>560</v>
      </c>
      <c r="BI81" t="s">
        <v>561</v>
      </c>
      <c r="BK81" t="s">
        <v>607</v>
      </c>
      <c r="BL81" t="s">
        <v>562</v>
      </c>
      <c r="BM81" t="s">
        <v>658</v>
      </c>
      <c r="BN81">
        <v>1</v>
      </c>
      <c r="BO81">
        <v>80.64</v>
      </c>
      <c r="BP81">
        <v>20</v>
      </c>
      <c r="BQ81">
        <v>133.33000000000001</v>
      </c>
      <c r="BR81" t="s">
        <v>549</v>
      </c>
    </row>
    <row r="82" spans="1:70">
      <c r="A82" t="s">
        <v>644</v>
      </c>
      <c r="B82" t="s">
        <v>326</v>
      </c>
      <c r="C82" t="s">
        <v>645</v>
      </c>
      <c r="D82" t="s">
        <v>646</v>
      </c>
      <c r="E82" t="s">
        <v>328</v>
      </c>
      <c r="F82">
        <v>2</v>
      </c>
      <c r="H82" t="s">
        <v>647</v>
      </c>
      <c r="R82" t="s">
        <v>648</v>
      </c>
      <c r="S82">
        <v>1</v>
      </c>
      <c r="T82" t="s">
        <v>659</v>
      </c>
      <c r="U82" t="s">
        <v>547</v>
      </c>
      <c r="V82">
        <v>3214.12</v>
      </c>
      <c r="W82">
        <v>3214.12</v>
      </c>
      <c r="Z82" t="s">
        <v>660</v>
      </c>
      <c r="AA82" t="s">
        <v>549</v>
      </c>
      <c r="AB82" t="s">
        <v>748</v>
      </c>
      <c r="AC82" t="s">
        <v>550</v>
      </c>
      <c r="AD82" t="s">
        <v>551</v>
      </c>
      <c r="BR82" t="s">
        <v>549</v>
      </c>
    </row>
    <row r="83" spans="1:70">
      <c r="A83" t="s">
        <v>661</v>
      </c>
      <c r="B83" t="s">
        <v>372</v>
      </c>
      <c r="C83" t="s">
        <v>662</v>
      </c>
      <c r="D83" t="s">
        <v>663</v>
      </c>
      <c r="E83" t="s">
        <v>373</v>
      </c>
      <c r="F83">
        <v>2</v>
      </c>
      <c r="G83" t="s">
        <v>539</v>
      </c>
      <c r="H83" t="s">
        <v>664</v>
      </c>
      <c r="I83" t="s">
        <v>748</v>
      </c>
      <c r="J83" t="s">
        <v>542</v>
      </c>
      <c r="K83">
        <v>20042.400000000001</v>
      </c>
      <c r="L83">
        <v>0</v>
      </c>
      <c r="M83" t="s">
        <v>570</v>
      </c>
      <c r="N83" t="s">
        <v>544</v>
      </c>
      <c r="O83">
        <v>198.44</v>
      </c>
      <c r="P83">
        <v>20042.400000000001</v>
      </c>
      <c r="R83" t="s">
        <v>665</v>
      </c>
      <c r="S83">
        <v>3</v>
      </c>
      <c r="T83" t="s">
        <v>632</v>
      </c>
      <c r="U83" t="s">
        <v>547</v>
      </c>
      <c r="V83">
        <v>2301.6</v>
      </c>
      <c r="W83">
        <v>2301.6</v>
      </c>
      <c r="Z83" t="s">
        <v>633</v>
      </c>
      <c r="AA83" t="s">
        <v>549</v>
      </c>
      <c r="AB83" t="s">
        <v>748</v>
      </c>
      <c r="AC83" t="s">
        <v>550</v>
      </c>
      <c r="AD83" t="s">
        <v>551</v>
      </c>
      <c r="AE83" t="s">
        <v>666</v>
      </c>
      <c r="AF83" t="s">
        <v>667</v>
      </c>
      <c r="AG83" t="s">
        <v>668</v>
      </c>
      <c r="AH83" t="s">
        <v>669</v>
      </c>
      <c r="AI83" t="s">
        <v>670</v>
      </c>
      <c r="AJ83" t="s">
        <v>671</v>
      </c>
      <c r="AK83" t="s">
        <v>556</v>
      </c>
      <c r="AM83" t="s">
        <v>672</v>
      </c>
      <c r="AN83" t="s">
        <v>558</v>
      </c>
      <c r="AO83" t="s">
        <v>673</v>
      </c>
      <c r="AP83" t="s">
        <v>674</v>
      </c>
      <c r="AQ83" t="s">
        <v>675</v>
      </c>
      <c r="AR83" t="s">
        <v>676</v>
      </c>
      <c r="AS83" t="s">
        <v>666</v>
      </c>
      <c r="AT83" t="s">
        <v>667</v>
      </c>
      <c r="AU83" t="s">
        <v>668</v>
      </c>
      <c r="AV83" t="s">
        <v>669</v>
      </c>
      <c r="AW83" t="s">
        <v>670</v>
      </c>
      <c r="AX83" t="s">
        <v>671</v>
      </c>
      <c r="AY83" t="s">
        <v>556</v>
      </c>
      <c r="BA83" t="s">
        <v>672</v>
      </c>
      <c r="BB83" t="s">
        <v>558</v>
      </c>
      <c r="BC83" t="s">
        <v>673</v>
      </c>
      <c r="BD83" t="s">
        <v>676</v>
      </c>
      <c r="BH83" t="s">
        <v>560</v>
      </c>
      <c r="BI83" t="s">
        <v>561</v>
      </c>
      <c r="BK83" t="s">
        <v>607</v>
      </c>
      <c r="BL83" t="s">
        <v>562</v>
      </c>
      <c r="BM83" t="s">
        <v>677</v>
      </c>
      <c r="BN83">
        <v>1</v>
      </c>
      <c r="BO83">
        <v>198.44</v>
      </c>
      <c r="BR83" t="s">
        <v>549</v>
      </c>
    </row>
    <row r="84" spans="1:70">
      <c r="A84" t="s">
        <v>661</v>
      </c>
      <c r="B84" t="s">
        <v>372</v>
      </c>
      <c r="C84" t="s">
        <v>662</v>
      </c>
      <c r="D84" t="s">
        <v>663</v>
      </c>
      <c r="E84" t="s">
        <v>373</v>
      </c>
      <c r="F84">
        <v>2</v>
      </c>
      <c r="H84" t="s">
        <v>664</v>
      </c>
      <c r="R84" t="s">
        <v>665</v>
      </c>
      <c r="S84">
        <v>1</v>
      </c>
      <c r="T84" t="s">
        <v>588</v>
      </c>
      <c r="U84" t="s">
        <v>547</v>
      </c>
      <c r="V84">
        <v>4788</v>
      </c>
      <c r="W84">
        <v>4788</v>
      </c>
      <c r="Z84" t="s">
        <v>589</v>
      </c>
      <c r="AA84" t="s">
        <v>549</v>
      </c>
      <c r="AB84" t="s">
        <v>748</v>
      </c>
      <c r="AC84" t="s">
        <v>550</v>
      </c>
      <c r="AD84" t="s">
        <v>551</v>
      </c>
      <c r="BR84" t="s">
        <v>549</v>
      </c>
    </row>
    <row r="85" spans="1:70">
      <c r="A85" t="s">
        <v>661</v>
      </c>
      <c r="B85" t="s">
        <v>372</v>
      </c>
      <c r="C85" t="s">
        <v>662</v>
      </c>
      <c r="D85" t="s">
        <v>663</v>
      </c>
      <c r="E85" t="s">
        <v>373</v>
      </c>
      <c r="F85">
        <v>2</v>
      </c>
      <c r="H85" t="s">
        <v>664</v>
      </c>
      <c r="R85" t="s">
        <v>665</v>
      </c>
      <c r="S85">
        <v>1</v>
      </c>
      <c r="T85" t="s">
        <v>678</v>
      </c>
      <c r="U85" t="s">
        <v>547</v>
      </c>
      <c r="V85">
        <v>8349.6</v>
      </c>
      <c r="W85">
        <v>8349.6</v>
      </c>
      <c r="Z85" t="s">
        <v>679</v>
      </c>
      <c r="AA85" t="s">
        <v>549</v>
      </c>
      <c r="AB85" t="s">
        <v>748</v>
      </c>
      <c r="AC85" t="s">
        <v>550</v>
      </c>
      <c r="AD85" t="s">
        <v>551</v>
      </c>
      <c r="BR85" t="s">
        <v>549</v>
      </c>
    </row>
    <row r="86" spans="1:70">
      <c r="A86" t="s">
        <v>680</v>
      </c>
      <c r="B86" t="s">
        <v>22</v>
      </c>
      <c r="C86" t="s">
        <v>681</v>
      </c>
      <c r="D86" t="s">
        <v>682</v>
      </c>
      <c r="E86" t="s">
        <v>23</v>
      </c>
      <c r="F86">
        <v>1</v>
      </c>
      <c r="G86" t="s">
        <v>539</v>
      </c>
      <c r="H86" t="s">
        <v>683</v>
      </c>
      <c r="I86" t="s">
        <v>748</v>
      </c>
      <c r="J86" t="s">
        <v>542</v>
      </c>
      <c r="K86">
        <v>20227.2</v>
      </c>
      <c r="L86">
        <v>0</v>
      </c>
      <c r="M86" t="s">
        <v>570</v>
      </c>
      <c r="N86" t="s">
        <v>544</v>
      </c>
      <c r="O86">
        <v>200.27</v>
      </c>
      <c r="P86">
        <v>20227.2</v>
      </c>
      <c r="R86" t="s">
        <v>684</v>
      </c>
      <c r="S86">
        <v>4</v>
      </c>
      <c r="T86" t="s">
        <v>609</v>
      </c>
      <c r="U86" t="s">
        <v>547</v>
      </c>
      <c r="V86">
        <v>5056.8</v>
      </c>
      <c r="W86">
        <v>5056.8</v>
      </c>
      <c r="Z86" t="s">
        <v>610</v>
      </c>
      <c r="AA86" t="s">
        <v>549</v>
      </c>
      <c r="AB86" t="s">
        <v>748</v>
      </c>
      <c r="AC86" t="s">
        <v>550</v>
      </c>
      <c r="AD86" t="s">
        <v>551</v>
      </c>
      <c r="AE86" t="s">
        <v>22</v>
      </c>
      <c r="AF86" t="s">
        <v>685</v>
      </c>
      <c r="AG86" t="s">
        <v>686</v>
      </c>
      <c r="AH86" t="s">
        <v>687</v>
      </c>
      <c r="AI86" t="s">
        <v>688</v>
      </c>
      <c r="AJ86" t="s">
        <v>689</v>
      </c>
      <c r="AK86" t="s">
        <v>556</v>
      </c>
      <c r="AM86" t="s">
        <v>690</v>
      </c>
      <c r="AN86" t="s">
        <v>558</v>
      </c>
      <c r="AO86" t="s">
        <v>691</v>
      </c>
      <c r="AP86" t="s">
        <v>692</v>
      </c>
      <c r="AQ86" t="s">
        <v>688</v>
      </c>
      <c r="AR86" t="s">
        <v>693</v>
      </c>
      <c r="AS86" t="s">
        <v>22</v>
      </c>
      <c r="AT86" t="s">
        <v>685</v>
      </c>
      <c r="AU86" t="s">
        <v>686</v>
      </c>
      <c r="AV86" t="s">
        <v>687</v>
      </c>
      <c r="AW86" t="s">
        <v>688</v>
      </c>
      <c r="AX86" t="s">
        <v>689</v>
      </c>
      <c r="AY86" t="s">
        <v>556</v>
      </c>
      <c r="BA86" t="s">
        <v>690</v>
      </c>
      <c r="BB86" t="s">
        <v>558</v>
      </c>
      <c r="BC86" t="s">
        <v>691</v>
      </c>
      <c r="BD86" t="s">
        <v>693</v>
      </c>
      <c r="BH86" t="s">
        <v>560</v>
      </c>
      <c r="BI86" t="s">
        <v>561</v>
      </c>
      <c r="BK86" t="s">
        <v>607</v>
      </c>
      <c r="BL86" t="s">
        <v>562</v>
      </c>
      <c r="BM86" t="s">
        <v>694</v>
      </c>
      <c r="BN86">
        <v>1</v>
      </c>
      <c r="BO86">
        <v>200.27</v>
      </c>
      <c r="BR86" t="s">
        <v>549</v>
      </c>
    </row>
    <row r="87" spans="1:70">
      <c r="A87" t="s">
        <v>695</v>
      </c>
      <c r="B87" t="s">
        <v>32</v>
      </c>
      <c r="C87" t="s">
        <v>567</v>
      </c>
      <c r="D87" t="s">
        <v>568</v>
      </c>
      <c r="E87" t="s">
        <v>34</v>
      </c>
      <c r="F87">
        <v>10</v>
      </c>
      <c r="G87" t="s">
        <v>539</v>
      </c>
      <c r="H87" t="s">
        <v>696</v>
      </c>
      <c r="I87" t="s">
        <v>748</v>
      </c>
      <c r="J87" t="s">
        <v>542</v>
      </c>
      <c r="K87">
        <v>69921.600000000006</v>
      </c>
      <c r="L87">
        <v>0</v>
      </c>
      <c r="M87" t="s">
        <v>570</v>
      </c>
      <c r="N87" t="s">
        <v>544</v>
      </c>
      <c r="O87">
        <v>623.05999999999995</v>
      </c>
      <c r="P87">
        <v>62929.440000000002</v>
      </c>
      <c r="Q87">
        <v>6992.16</v>
      </c>
      <c r="R87" t="s">
        <v>697</v>
      </c>
      <c r="S87">
        <v>4</v>
      </c>
      <c r="T87" t="s">
        <v>572</v>
      </c>
      <c r="U87" t="s">
        <v>547</v>
      </c>
      <c r="V87">
        <v>5556.6</v>
      </c>
      <c r="W87">
        <v>6174</v>
      </c>
      <c r="Z87" t="s">
        <v>573</v>
      </c>
      <c r="AA87" t="s">
        <v>549</v>
      </c>
      <c r="AB87" t="s">
        <v>748</v>
      </c>
      <c r="AC87" t="s">
        <v>550</v>
      </c>
      <c r="AD87" t="s">
        <v>551</v>
      </c>
      <c r="AE87" t="s">
        <v>32</v>
      </c>
      <c r="AF87" t="s">
        <v>574</v>
      </c>
      <c r="AG87" t="s">
        <v>575</v>
      </c>
      <c r="AH87" t="s">
        <v>576</v>
      </c>
      <c r="AI87" t="s">
        <v>577</v>
      </c>
      <c r="AJ87" t="s">
        <v>578</v>
      </c>
      <c r="AK87" t="s">
        <v>556</v>
      </c>
      <c r="AM87" t="s">
        <v>579</v>
      </c>
      <c r="AN87" t="s">
        <v>558</v>
      </c>
      <c r="AO87" t="s">
        <v>33</v>
      </c>
      <c r="AP87" t="s">
        <v>580</v>
      </c>
      <c r="AQ87" t="s">
        <v>581</v>
      </c>
      <c r="AR87" t="s">
        <v>582</v>
      </c>
      <c r="AS87" t="s">
        <v>32</v>
      </c>
      <c r="AT87" t="s">
        <v>574</v>
      </c>
      <c r="AU87" t="s">
        <v>575</v>
      </c>
      <c r="AV87" t="s">
        <v>576</v>
      </c>
      <c r="AW87" t="s">
        <v>577</v>
      </c>
      <c r="AX87" t="s">
        <v>578</v>
      </c>
      <c r="AY87" t="s">
        <v>556</v>
      </c>
      <c r="BA87" t="s">
        <v>579</v>
      </c>
      <c r="BB87" t="s">
        <v>558</v>
      </c>
      <c r="BC87" t="s">
        <v>33</v>
      </c>
      <c r="BD87" t="s">
        <v>582</v>
      </c>
      <c r="BH87" t="s">
        <v>560</v>
      </c>
      <c r="BI87" t="s">
        <v>561</v>
      </c>
      <c r="BK87" t="s">
        <v>607</v>
      </c>
      <c r="BL87" t="s">
        <v>562</v>
      </c>
      <c r="BM87" t="s">
        <v>698</v>
      </c>
      <c r="BN87">
        <v>1</v>
      </c>
      <c r="BO87">
        <v>623.05999999999995</v>
      </c>
      <c r="BR87" t="s">
        <v>549</v>
      </c>
    </row>
    <row r="88" spans="1:70">
      <c r="A88" t="s">
        <v>695</v>
      </c>
      <c r="B88" t="s">
        <v>32</v>
      </c>
      <c r="C88" t="s">
        <v>567</v>
      </c>
      <c r="D88" t="s">
        <v>568</v>
      </c>
      <c r="E88" t="s">
        <v>34</v>
      </c>
      <c r="F88">
        <v>10</v>
      </c>
      <c r="H88" t="s">
        <v>696</v>
      </c>
      <c r="R88" t="s">
        <v>697</v>
      </c>
      <c r="S88">
        <v>2</v>
      </c>
      <c r="T88" t="s">
        <v>584</v>
      </c>
      <c r="U88" t="s">
        <v>547</v>
      </c>
      <c r="V88">
        <v>2736.72</v>
      </c>
      <c r="W88">
        <v>3040.8</v>
      </c>
      <c r="Z88" t="s">
        <v>585</v>
      </c>
      <c r="AA88" t="s">
        <v>549</v>
      </c>
      <c r="AB88" t="s">
        <v>748</v>
      </c>
      <c r="AC88" t="s">
        <v>550</v>
      </c>
      <c r="AD88" t="s">
        <v>551</v>
      </c>
      <c r="BR88" t="s">
        <v>549</v>
      </c>
    </row>
    <row r="89" spans="1:70">
      <c r="A89" t="s">
        <v>695</v>
      </c>
      <c r="B89" t="s">
        <v>32</v>
      </c>
      <c r="C89" t="s">
        <v>567</v>
      </c>
      <c r="D89" t="s">
        <v>568</v>
      </c>
      <c r="E89" t="s">
        <v>34</v>
      </c>
      <c r="F89">
        <v>10</v>
      </c>
      <c r="H89" t="s">
        <v>696</v>
      </c>
      <c r="R89" t="s">
        <v>697</v>
      </c>
      <c r="S89">
        <v>4</v>
      </c>
      <c r="T89" t="s">
        <v>588</v>
      </c>
      <c r="U89" t="s">
        <v>547</v>
      </c>
      <c r="V89">
        <v>4309.2</v>
      </c>
      <c r="W89">
        <v>4788</v>
      </c>
      <c r="Z89" t="s">
        <v>589</v>
      </c>
      <c r="AA89" t="s">
        <v>549</v>
      </c>
      <c r="AB89" t="s">
        <v>748</v>
      </c>
      <c r="AC89" t="s">
        <v>550</v>
      </c>
      <c r="AD89" t="s">
        <v>551</v>
      </c>
      <c r="BR89" t="s">
        <v>549</v>
      </c>
    </row>
    <row r="90" spans="1:70">
      <c r="A90" t="s">
        <v>695</v>
      </c>
      <c r="B90" t="s">
        <v>32</v>
      </c>
      <c r="C90" t="s">
        <v>567</v>
      </c>
      <c r="D90" t="s">
        <v>568</v>
      </c>
      <c r="E90" t="s">
        <v>34</v>
      </c>
      <c r="F90">
        <v>10</v>
      </c>
      <c r="H90" t="s">
        <v>696</v>
      </c>
      <c r="R90" t="s">
        <v>697</v>
      </c>
      <c r="S90">
        <v>4</v>
      </c>
      <c r="T90" t="s">
        <v>586</v>
      </c>
      <c r="U90" t="s">
        <v>547</v>
      </c>
      <c r="V90">
        <v>4498.2</v>
      </c>
      <c r="W90">
        <v>4998</v>
      </c>
      <c r="Z90" t="s">
        <v>587</v>
      </c>
      <c r="AA90" t="s">
        <v>549</v>
      </c>
      <c r="AB90" t="s">
        <v>748</v>
      </c>
      <c r="AC90" t="s">
        <v>550</v>
      </c>
      <c r="AD90" t="s">
        <v>551</v>
      </c>
      <c r="BR90" t="s">
        <v>549</v>
      </c>
    </row>
    <row r="91" spans="1:70">
      <c r="A91" t="s">
        <v>699</v>
      </c>
      <c r="B91" t="s">
        <v>39</v>
      </c>
      <c r="C91" t="s">
        <v>700</v>
      </c>
      <c r="D91" t="s">
        <v>701</v>
      </c>
      <c r="E91" t="s">
        <v>41</v>
      </c>
      <c r="F91">
        <v>2</v>
      </c>
      <c r="G91" t="s">
        <v>539</v>
      </c>
      <c r="H91" t="s">
        <v>702</v>
      </c>
      <c r="I91" t="s">
        <v>748</v>
      </c>
      <c r="J91" t="s">
        <v>542</v>
      </c>
      <c r="K91">
        <v>6048</v>
      </c>
      <c r="L91">
        <v>800</v>
      </c>
      <c r="M91" t="s">
        <v>543</v>
      </c>
      <c r="N91" t="s">
        <v>544</v>
      </c>
      <c r="O91">
        <v>193.21</v>
      </c>
      <c r="P91">
        <v>6848</v>
      </c>
      <c r="R91" t="s">
        <v>703</v>
      </c>
      <c r="S91">
        <v>2</v>
      </c>
      <c r="T91" t="s">
        <v>704</v>
      </c>
      <c r="U91" t="s">
        <v>547</v>
      </c>
      <c r="V91">
        <v>3024</v>
      </c>
      <c r="W91">
        <v>3024</v>
      </c>
      <c r="Z91" t="s">
        <v>705</v>
      </c>
      <c r="AA91" t="s">
        <v>549</v>
      </c>
      <c r="AB91" t="s">
        <v>748</v>
      </c>
      <c r="AC91" t="s">
        <v>550</v>
      </c>
      <c r="AD91" t="s">
        <v>551</v>
      </c>
      <c r="AE91" t="s">
        <v>706</v>
      </c>
      <c r="AF91" t="s">
        <v>707</v>
      </c>
      <c r="AH91" t="s">
        <v>708</v>
      </c>
      <c r="AI91" t="s">
        <v>709</v>
      </c>
      <c r="AJ91" t="s">
        <v>710</v>
      </c>
      <c r="AK91" t="s">
        <v>556</v>
      </c>
      <c r="AM91" t="s">
        <v>711</v>
      </c>
      <c r="AN91" t="s">
        <v>558</v>
      </c>
      <c r="AO91" t="s">
        <v>40</v>
      </c>
      <c r="AP91" t="s">
        <v>712</v>
      </c>
      <c r="AQ91" t="s">
        <v>713</v>
      </c>
      <c r="AR91" t="s">
        <v>714</v>
      </c>
      <c r="AS91" t="s">
        <v>706</v>
      </c>
      <c r="AT91" t="s">
        <v>707</v>
      </c>
      <c r="AV91" t="s">
        <v>708</v>
      </c>
      <c r="AW91" t="s">
        <v>709</v>
      </c>
      <c r="AX91" t="s">
        <v>710</v>
      </c>
      <c r="AY91" t="s">
        <v>556</v>
      </c>
      <c r="BA91" t="s">
        <v>711</v>
      </c>
      <c r="BB91" t="s">
        <v>558</v>
      </c>
      <c r="BC91" t="s">
        <v>40</v>
      </c>
      <c r="BD91" t="s">
        <v>714</v>
      </c>
      <c r="BH91" t="s">
        <v>560</v>
      </c>
      <c r="BI91" t="s">
        <v>561</v>
      </c>
      <c r="BK91" t="s">
        <v>607</v>
      </c>
      <c r="BL91" t="s">
        <v>562</v>
      </c>
      <c r="BM91" t="s">
        <v>715</v>
      </c>
      <c r="BN91">
        <v>1</v>
      </c>
      <c r="BO91">
        <v>59.88</v>
      </c>
      <c r="BP91">
        <v>20</v>
      </c>
      <c r="BQ91">
        <v>133.33000000000001</v>
      </c>
      <c r="BR91" t="s">
        <v>549</v>
      </c>
    </row>
    <row r="92" spans="1:70">
      <c r="A92" t="s">
        <v>716</v>
      </c>
      <c r="B92" t="s">
        <v>43</v>
      </c>
      <c r="C92" t="s">
        <v>537</v>
      </c>
      <c r="D92" t="s">
        <v>538</v>
      </c>
      <c r="E92" t="s">
        <v>45</v>
      </c>
      <c r="F92">
        <v>5</v>
      </c>
      <c r="G92" t="s">
        <v>539</v>
      </c>
      <c r="H92" t="s">
        <v>717</v>
      </c>
      <c r="I92" t="s">
        <v>748</v>
      </c>
      <c r="J92" t="s">
        <v>542</v>
      </c>
      <c r="K92">
        <v>8153.6</v>
      </c>
      <c r="L92">
        <v>800</v>
      </c>
      <c r="M92" t="s">
        <v>543</v>
      </c>
      <c r="N92" t="s">
        <v>544</v>
      </c>
      <c r="O92">
        <v>214.06</v>
      </c>
      <c r="P92">
        <v>8953.6</v>
      </c>
      <c r="R92" t="s">
        <v>718</v>
      </c>
      <c r="S92">
        <v>1</v>
      </c>
      <c r="T92" t="s">
        <v>719</v>
      </c>
      <c r="U92" t="s">
        <v>547</v>
      </c>
      <c r="V92">
        <v>2872.8</v>
      </c>
      <c r="W92">
        <v>2872.8</v>
      </c>
      <c r="Z92" t="s">
        <v>720</v>
      </c>
      <c r="AA92" t="s">
        <v>549</v>
      </c>
      <c r="AB92" t="s">
        <v>748</v>
      </c>
      <c r="AC92" t="s">
        <v>550</v>
      </c>
      <c r="AD92" t="s">
        <v>551</v>
      </c>
      <c r="AE92" t="s">
        <v>43</v>
      </c>
      <c r="AF92" t="s">
        <v>552</v>
      </c>
      <c r="AG92" t="s">
        <v>553</v>
      </c>
      <c r="AI92" t="s">
        <v>554</v>
      </c>
      <c r="AJ92" t="s">
        <v>555</v>
      </c>
      <c r="AK92" t="s">
        <v>556</v>
      </c>
      <c r="AM92" t="s">
        <v>557</v>
      </c>
      <c r="AN92" t="s">
        <v>558</v>
      </c>
      <c r="AO92" t="s">
        <v>44</v>
      </c>
      <c r="AP92" t="s">
        <v>549</v>
      </c>
      <c r="AQ92" t="s">
        <v>549</v>
      </c>
      <c r="AR92" t="s">
        <v>559</v>
      </c>
      <c r="AS92" t="s">
        <v>43</v>
      </c>
      <c r="AT92" t="s">
        <v>552</v>
      </c>
      <c r="AU92" t="s">
        <v>553</v>
      </c>
      <c r="AW92" t="s">
        <v>554</v>
      </c>
      <c r="AX92" t="s">
        <v>555</v>
      </c>
      <c r="AY92" t="s">
        <v>556</v>
      </c>
      <c r="BA92" t="s">
        <v>557</v>
      </c>
      <c r="BB92" t="s">
        <v>558</v>
      </c>
      <c r="BC92" t="s">
        <v>44</v>
      </c>
      <c r="BD92" t="s">
        <v>559</v>
      </c>
      <c r="BH92" t="s">
        <v>560</v>
      </c>
      <c r="BI92" t="s">
        <v>561</v>
      </c>
      <c r="BK92" t="s">
        <v>607</v>
      </c>
      <c r="BL92" t="s">
        <v>562</v>
      </c>
      <c r="BM92" t="s">
        <v>721</v>
      </c>
      <c r="BN92">
        <v>1</v>
      </c>
      <c r="BO92">
        <v>80.73</v>
      </c>
      <c r="BP92">
        <v>20</v>
      </c>
      <c r="BQ92">
        <v>133.33000000000001</v>
      </c>
      <c r="BR92" t="s">
        <v>549</v>
      </c>
    </row>
    <row r="93" spans="1:70">
      <c r="A93" t="s">
        <v>716</v>
      </c>
      <c r="B93" t="s">
        <v>43</v>
      </c>
      <c r="C93" t="s">
        <v>537</v>
      </c>
      <c r="D93" t="s">
        <v>538</v>
      </c>
      <c r="E93" t="s">
        <v>45</v>
      </c>
      <c r="F93">
        <v>5</v>
      </c>
      <c r="H93" t="s">
        <v>717</v>
      </c>
      <c r="R93" t="s">
        <v>718</v>
      </c>
      <c r="S93">
        <v>1</v>
      </c>
      <c r="T93" t="s">
        <v>722</v>
      </c>
      <c r="U93" t="s">
        <v>547</v>
      </c>
      <c r="V93">
        <v>2979.2</v>
      </c>
      <c r="W93">
        <v>2979.2</v>
      </c>
      <c r="Z93" t="s">
        <v>723</v>
      </c>
      <c r="AA93" t="s">
        <v>549</v>
      </c>
      <c r="AB93" t="s">
        <v>748</v>
      </c>
      <c r="AC93" t="s">
        <v>550</v>
      </c>
      <c r="AD93" t="s">
        <v>551</v>
      </c>
      <c r="BR93" t="s">
        <v>549</v>
      </c>
    </row>
    <row r="94" spans="1:70">
      <c r="A94" t="s">
        <v>716</v>
      </c>
      <c r="B94" t="s">
        <v>43</v>
      </c>
      <c r="C94" t="s">
        <v>537</v>
      </c>
      <c r="D94" t="s">
        <v>538</v>
      </c>
      <c r="E94" t="s">
        <v>45</v>
      </c>
      <c r="F94">
        <v>5</v>
      </c>
      <c r="H94" t="s">
        <v>717</v>
      </c>
      <c r="R94" t="s">
        <v>718</v>
      </c>
      <c r="S94">
        <v>1</v>
      </c>
      <c r="T94" t="s">
        <v>632</v>
      </c>
      <c r="U94" t="s">
        <v>547</v>
      </c>
      <c r="V94">
        <v>2301.6</v>
      </c>
      <c r="W94">
        <v>2301.6</v>
      </c>
      <c r="Z94" t="s">
        <v>633</v>
      </c>
      <c r="AA94" t="s">
        <v>549</v>
      </c>
      <c r="AB94" t="s">
        <v>748</v>
      </c>
      <c r="AC94" t="s">
        <v>550</v>
      </c>
      <c r="AD94" t="s">
        <v>551</v>
      </c>
      <c r="BR94" t="s">
        <v>549</v>
      </c>
    </row>
    <row r="95" spans="1:70">
      <c r="A95" t="s">
        <v>724</v>
      </c>
      <c r="B95" t="s">
        <v>354</v>
      </c>
      <c r="C95" t="s">
        <v>725</v>
      </c>
      <c r="D95" t="s">
        <v>726</v>
      </c>
      <c r="E95" t="s">
        <v>355</v>
      </c>
      <c r="F95">
        <v>1</v>
      </c>
      <c r="G95" t="s">
        <v>539</v>
      </c>
      <c r="H95" t="s">
        <v>727</v>
      </c>
      <c r="I95" t="s">
        <v>748</v>
      </c>
      <c r="J95" t="s">
        <v>542</v>
      </c>
      <c r="K95">
        <v>47728.800000000003</v>
      </c>
      <c r="L95">
        <v>0</v>
      </c>
      <c r="M95" t="s">
        <v>570</v>
      </c>
      <c r="N95" t="s">
        <v>544</v>
      </c>
      <c r="O95">
        <v>472.56</v>
      </c>
      <c r="P95">
        <v>47728.800000000003</v>
      </c>
      <c r="R95" t="s">
        <v>728</v>
      </c>
      <c r="S95">
        <v>1</v>
      </c>
      <c r="T95" t="s">
        <v>729</v>
      </c>
      <c r="U95" t="s">
        <v>547</v>
      </c>
      <c r="V95">
        <v>5737.2</v>
      </c>
      <c r="W95">
        <v>5737.2</v>
      </c>
      <c r="Z95" t="s">
        <v>730</v>
      </c>
      <c r="AA95" t="s">
        <v>549</v>
      </c>
      <c r="AB95" t="s">
        <v>748</v>
      </c>
      <c r="AC95" t="s">
        <v>550</v>
      </c>
      <c r="AD95" t="s">
        <v>551</v>
      </c>
      <c r="AE95" t="s">
        <v>731</v>
      </c>
      <c r="AF95" t="s">
        <v>732</v>
      </c>
      <c r="AG95" t="s">
        <v>733</v>
      </c>
      <c r="AH95" t="s">
        <v>734</v>
      </c>
      <c r="AI95" t="s">
        <v>670</v>
      </c>
      <c r="AJ95" t="s">
        <v>735</v>
      </c>
      <c r="AK95" t="s">
        <v>556</v>
      </c>
      <c r="AM95" t="s">
        <v>736</v>
      </c>
      <c r="AN95" t="s">
        <v>558</v>
      </c>
      <c r="AO95" t="s">
        <v>737</v>
      </c>
      <c r="AP95" t="s">
        <v>738</v>
      </c>
      <c r="AQ95" t="s">
        <v>736</v>
      </c>
      <c r="AR95" t="s">
        <v>738</v>
      </c>
      <c r="AS95" t="s">
        <v>731</v>
      </c>
      <c r="AT95" t="s">
        <v>732</v>
      </c>
      <c r="AU95" t="s">
        <v>733</v>
      </c>
      <c r="AV95" t="s">
        <v>734</v>
      </c>
      <c r="AW95" t="s">
        <v>670</v>
      </c>
      <c r="AX95" t="s">
        <v>735</v>
      </c>
      <c r="AY95" t="s">
        <v>556</v>
      </c>
      <c r="BA95" t="s">
        <v>736</v>
      </c>
      <c r="BB95" t="s">
        <v>558</v>
      </c>
      <c r="BC95" t="s">
        <v>737</v>
      </c>
      <c r="BD95" t="s">
        <v>738</v>
      </c>
      <c r="BH95" t="s">
        <v>560</v>
      </c>
      <c r="BI95" t="s">
        <v>561</v>
      </c>
      <c r="BK95" t="s">
        <v>607</v>
      </c>
      <c r="BL95" t="s">
        <v>562</v>
      </c>
      <c r="BM95" t="s">
        <v>739</v>
      </c>
      <c r="BN95">
        <v>1</v>
      </c>
      <c r="BO95">
        <v>472.56</v>
      </c>
      <c r="BR95" t="s">
        <v>549</v>
      </c>
    </row>
    <row r="96" spans="1:70">
      <c r="A96" t="s">
        <v>724</v>
      </c>
      <c r="B96" t="s">
        <v>354</v>
      </c>
      <c r="C96" t="s">
        <v>725</v>
      </c>
      <c r="D96" t="s">
        <v>726</v>
      </c>
      <c r="E96" t="s">
        <v>355</v>
      </c>
      <c r="F96">
        <v>1</v>
      </c>
      <c r="H96" t="s">
        <v>727</v>
      </c>
      <c r="R96" t="s">
        <v>728</v>
      </c>
      <c r="S96">
        <v>1</v>
      </c>
      <c r="T96" t="s">
        <v>740</v>
      </c>
      <c r="U96" t="s">
        <v>547</v>
      </c>
      <c r="V96">
        <v>6644.4</v>
      </c>
      <c r="W96">
        <v>6644.4</v>
      </c>
      <c r="Z96" t="s">
        <v>741</v>
      </c>
      <c r="AA96" t="s">
        <v>549</v>
      </c>
      <c r="AB96" t="s">
        <v>748</v>
      </c>
      <c r="AC96" t="s">
        <v>550</v>
      </c>
      <c r="AD96" t="s">
        <v>551</v>
      </c>
      <c r="BR96" t="s">
        <v>549</v>
      </c>
    </row>
    <row r="97" spans="1:70">
      <c r="A97" t="s">
        <v>724</v>
      </c>
      <c r="B97" t="s">
        <v>354</v>
      </c>
      <c r="C97" t="s">
        <v>725</v>
      </c>
      <c r="D97" t="s">
        <v>726</v>
      </c>
      <c r="E97" t="s">
        <v>355</v>
      </c>
      <c r="F97">
        <v>1</v>
      </c>
      <c r="H97" t="s">
        <v>727</v>
      </c>
      <c r="R97" t="s">
        <v>728</v>
      </c>
      <c r="S97">
        <v>1</v>
      </c>
      <c r="T97" t="s">
        <v>678</v>
      </c>
      <c r="U97" t="s">
        <v>547</v>
      </c>
      <c r="V97">
        <v>8349.6</v>
      </c>
      <c r="W97">
        <v>8349.6</v>
      </c>
      <c r="Z97" t="s">
        <v>679</v>
      </c>
      <c r="AA97" t="s">
        <v>549</v>
      </c>
      <c r="AB97" t="s">
        <v>748</v>
      </c>
      <c r="AC97" t="s">
        <v>550</v>
      </c>
      <c r="AD97" t="s">
        <v>551</v>
      </c>
      <c r="BR97" t="s">
        <v>549</v>
      </c>
    </row>
    <row r="98" spans="1:70">
      <c r="A98" t="s">
        <v>724</v>
      </c>
      <c r="B98" t="s">
        <v>354</v>
      </c>
      <c r="C98" t="s">
        <v>725</v>
      </c>
      <c r="D98" t="s">
        <v>726</v>
      </c>
      <c r="E98" t="s">
        <v>355</v>
      </c>
      <c r="F98">
        <v>1</v>
      </c>
      <c r="H98" t="s">
        <v>727</v>
      </c>
      <c r="R98" t="s">
        <v>728</v>
      </c>
      <c r="S98">
        <v>1</v>
      </c>
      <c r="T98" t="s">
        <v>584</v>
      </c>
      <c r="U98" t="s">
        <v>547</v>
      </c>
      <c r="V98">
        <v>3040.8</v>
      </c>
      <c r="W98">
        <v>3040.8</v>
      </c>
      <c r="Z98" t="s">
        <v>585</v>
      </c>
      <c r="AA98" t="s">
        <v>549</v>
      </c>
      <c r="AB98" t="s">
        <v>748</v>
      </c>
      <c r="AC98" t="s">
        <v>550</v>
      </c>
      <c r="AD98" t="s">
        <v>551</v>
      </c>
      <c r="BR98" t="s">
        <v>549</v>
      </c>
    </row>
    <row r="99" spans="1:70">
      <c r="A99" t="s">
        <v>724</v>
      </c>
      <c r="B99" t="s">
        <v>354</v>
      </c>
      <c r="C99" t="s">
        <v>725</v>
      </c>
      <c r="D99" t="s">
        <v>726</v>
      </c>
      <c r="E99" t="s">
        <v>355</v>
      </c>
      <c r="F99">
        <v>1</v>
      </c>
      <c r="H99" t="s">
        <v>727</v>
      </c>
      <c r="R99" t="s">
        <v>728</v>
      </c>
      <c r="S99">
        <v>1</v>
      </c>
      <c r="T99" t="s">
        <v>659</v>
      </c>
      <c r="U99" t="s">
        <v>547</v>
      </c>
      <c r="V99">
        <v>3032.4</v>
      </c>
      <c r="W99">
        <v>3032.4</v>
      </c>
      <c r="Z99" t="s">
        <v>660</v>
      </c>
      <c r="AA99" t="s">
        <v>549</v>
      </c>
      <c r="AB99" t="s">
        <v>748</v>
      </c>
      <c r="AC99" t="s">
        <v>550</v>
      </c>
      <c r="AD99" t="s">
        <v>551</v>
      </c>
      <c r="BR99" t="s">
        <v>549</v>
      </c>
    </row>
    <row r="100" spans="1:70">
      <c r="A100" t="s">
        <v>724</v>
      </c>
      <c r="B100" t="s">
        <v>354</v>
      </c>
      <c r="C100" t="s">
        <v>725</v>
      </c>
      <c r="D100" t="s">
        <v>726</v>
      </c>
      <c r="E100" t="s">
        <v>355</v>
      </c>
      <c r="F100">
        <v>1</v>
      </c>
      <c r="H100" t="s">
        <v>727</v>
      </c>
      <c r="R100" t="s">
        <v>728</v>
      </c>
      <c r="S100">
        <v>1</v>
      </c>
      <c r="T100" t="s">
        <v>742</v>
      </c>
      <c r="U100" t="s">
        <v>547</v>
      </c>
      <c r="V100">
        <v>4015.2</v>
      </c>
      <c r="W100">
        <v>4015.2</v>
      </c>
      <c r="Z100" t="s">
        <v>743</v>
      </c>
      <c r="AA100" t="s">
        <v>549</v>
      </c>
      <c r="AB100" t="s">
        <v>748</v>
      </c>
      <c r="AC100" t="s">
        <v>550</v>
      </c>
      <c r="AD100" t="s">
        <v>551</v>
      </c>
      <c r="BR100" t="s">
        <v>549</v>
      </c>
    </row>
    <row r="101" spans="1:70">
      <c r="A101" t="s">
        <v>724</v>
      </c>
      <c r="B101" t="s">
        <v>354</v>
      </c>
      <c r="C101" t="s">
        <v>725</v>
      </c>
      <c r="D101" t="s">
        <v>726</v>
      </c>
      <c r="E101" t="s">
        <v>355</v>
      </c>
      <c r="F101">
        <v>1</v>
      </c>
      <c r="H101" t="s">
        <v>727</v>
      </c>
      <c r="R101" t="s">
        <v>728</v>
      </c>
      <c r="S101">
        <v>1</v>
      </c>
      <c r="T101" t="s">
        <v>595</v>
      </c>
      <c r="U101" t="s">
        <v>547</v>
      </c>
      <c r="V101">
        <v>6854.4</v>
      </c>
      <c r="W101">
        <v>6854.4</v>
      </c>
      <c r="Z101" t="s">
        <v>596</v>
      </c>
      <c r="AA101" t="s">
        <v>549</v>
      </c>
      <c r="AB101" t="s">
        <v>748</v>
      </c>
      <c r="AC101" t="s">
        <v>550</v>
      </c>
      <c r="AD101" t="s">
        <v>551</v>
      </c>
      <c r="BR101" t="s">
        <v>549</v>
      </c>
    </row>
    <row r="102" spans="1:70">
      <c r="A102" t="s">
        <v>724</v>
      </c>
      <c r="B102" t="s">
        <v>354</v>
      </c>
      <c r="C102" t="s">
        <v>725</v>
      </c>
      <c r="D102" t="s">
        <v>726</v>
      </c>
      <c r="E102" t="s">
        <v>355</v>
      </c>
      <c r="F102">
        <v>1</v>
      </c>
      <c r="H102" t="s">
        <v>727</v>
      </c>
      <c r="R102" t="s">
        <v>728</v>
      </c>
      <c r="S102">
        <v>1</v>
      </c>
      <c r="T102" t="s">
        <v>586</v>
      </c>
      <c r="U102" t="s">
        <v>547</v>
      </c>
      <c r="V102">
        <v>4998</v>
      </c>
      <c r="W102">
        <v>4998</v>
      </c>
      <c r="Z102" t="s">
        <v>587</v>
      </c>
      <c r="AA102" t="s">
        <v>549</v>
      </c>
      <c r="AB102" t="s">
        <v>748</v>
      </c>
      <c r="AC102" t="s">
        <v>550</v>
      </c>
      <c r="AD102" t="s">
        <v>551</v>
      </c>
      <c r="BR102" t="s">
        <v>549</v>
      </c>
    </row>
    <row r="103" spans="1:70">
      <c r="A103" t="s">
        <v>724</v>
      </c>
      <c r="B103" t="s">
        <v>354</v>
      </c>
      <c r="C103" t="s">
        <v>725</v>
      </c>
      <c r="D103" t="s">
        <v>726</v>
      </c>
      <c r="E103" t="s">
        <v>355</v>
      </c>
      <c r="F103">
        <v>1</v>
      </c>
      <c r="H103" t="s">
        <v>727</v>
      </c>
      <c r="R103" t="s">
        <v>728</v>
      </c>
      <c r="S103">
        <v>1</v>
      </c>
      <c r="T103" t="s">
        <v>609</v>
      </c>
      <c r="U103" t="s">
        <v>547</v>
      </c>
      <c r="V103">
        <v>5056.8</v>
      </c>
      <c r="W103">
        <v>5056.8</v>
      </c>
      <c r="Z103" t="s">
        <v>610</v>
      </c>
      <c r="AA103" t="s">
        <v>549</v>
      </c>
      <c r="AB103" t="s">
        <v>748</v>
      </c>
      <c r="AC103" t="s">
        <v>550</v>
      </c>
      <c r="AD103" t="s">
        <v>551</v>
      </c>
      <c r="BR103" t="s">
        <v>549</v>
      </c>
    </row>
    <row r="104" spans="1:70">
      <c r="A104" t="s">
        <v>744</v>
      </c>
      <c r="B104" t="s">
        <v>48</v>
      </c>
      <c r="C104" t="s">
        <v>745</v>
      </c>
      <c r="D104" t="s">
        <v>746</v>
      </c>
      <c r="E104" t="s">
        <v>116</v>
      </c>
      <c r="F104">
        <v>5</v>
      </c>
      <c r="G104" t="s">
        <v>539</v>
      </c>
      <c r="H104" t="s">
        <v>747</v>
      </c>
      <c r="I104" t="s">
        <v>748</v>
      </c>
      <c r="J104" t="s">
        <v>542</v>
      </c>
      <c r="K104">
        <v>23284.799999999999</v>
      </c>
      <c r="L104">
        <v>0</v>
      </c>
      <c r="M104" t="s">
        <v>570</v>
      </c>
      <c r="N104" t="s">
        <v>544</v>
      </c>
      <c r="O104">
        <v>219.02</v>
      </c>
      <c r="P104">
        <v>22120.560000000001</v>
      </c>
      <c r="Q104">
        <v>1164.24</v>
      </c>
      <c r="R104" t="s">
        <v>749</v>
      </c>
      <c r="S104">
        <v>2</v>
      </c>
      <c r="T104" t="s">
        <v>740</v>
      </c>
      <c r="U104" t="s">
        <v>547</v>
      </c>
      <c r="V104">
        <v>6312.18</v>
      </c>
      <c r="W104">
        <v>6644.4</v>
      </c>
      <c r="Z104" t="s">
        <v>741</v>
      </c>
      <c r="AA104" t="s">
        <v>549</v>
      </c>
      <c r="AB104" t="s">
        <v>748</v>
      </c>
      <c r="AC104" t="s">
        <v>550</v>
      </c>
      <c r="AD104" t="s">
        <v>551</v>
      </c>
      <c r="AE104" t="s">
        <v>750</v>
      </c>
      <c r="AF104" t="s">
        <v>751</v>
      </c>
      <c r="AG104" t="s">
        <v>752</v>
      </c>
      <c r="AI104" t="s">
        <v>601</v>
      </c>
      <c r="AJ104" t="s">
        <v>753</v>
      </c>
      <c r="AK104" t="s">
        <v>556</v>
      </c>
      <c r="AM104" t="s">
        <v>754</v>
      </c>
      <c r="AN104" t="s">
        <v>558</v>
      </c>
      <c r="AO104" t="s">
        <v>49</v>
      </c>
      <c r="AP104" t="s">
        <v>549</v>
      </c>
      <c r="AQ104" t="s">
        <v>549</v>
      </c>
      <c r="AR104" t="s">
        <v>755</v>
      </c>
      <c r="AS104" t="s">
        <v>750</v>
      </c>
      <c r="AT104" t="s">
        <v>751</v>
      </c>
      <c r="AU104" t="s">
        <v>752</v>
      </c>
      <c r="AW104" t="s">
        <v>601</v>
      </c>
      <c r="AX104" t="s">
        <v>753</v>
      </c>
      <c r="AY104" t="s">
        <v>556</v>
      </c>
      <c r="BA104" t="s">
        <v>754</v>
      </c>
      <c r="BB104" t="s">
        <v>558</v>
      </c>
      <c r="BC104" t="s">
        <v>49</v>
      </c>
      <c r="BD104" t="s">
        <v>755</v>
      </c>
      <c r="BH104" t="s">
        <v>560</v>
      </c>
      <c r="BI104" t="s">
        <v>561</v>
      </c>
      <c r="BK104" t="s">
        <v>607</v>
      </c>
      <c r="BL104" t="s">
        <v>562</v>
      </c>
      <c r="BM104" t="s">
        <v>756</v>
      </c>
      <c r="BN104">
        <v>1</v>
      </c>
      <c r="BO104">
        <v>219.02</v>
      </c>
      <c r="BR104" t="s">
        <v>549</v>
      </c>
    </row>
    <row r="105" spans="1:70">
      <c r="A105" t="s">
        <v>744</v>
      </c>
      <c r="B105" t="s">
        <v>48</v>
      </c>
      <c r="C105" t="s">
        <v>745</v>
      </c>
      <c r="D105" t="s">
        <v>746</v>
      </c>
      <c r="E105" t="s">
        <v>116</v>
      </c>
      <c r="F105">
        <v>5</v>
      </c>
      <c r="H105" t="s">
        <v>747</v>
      </c>
      <c r="R105" t="s">
        <v>749</v>
      </c>
      <c r="S105">
        <v>2</v>
      </c>
      <c r="T105" t="s">
        <v>586</v>
      </c>
      <c r="U105" t="s">
        <v>547</v>
      </c>
      <c r="V105">
        <v>4748.1000000000004</v>
      </c>
      <c r="W105">
        <v>4998</v>
      </c>
      <c r="Z105" t="s">
        <v>587</v>
      </c>
      <c r="AA105" t="s">
        <v>549</v>
      </c>
      <c r="AB105" t="s">
        <v>748</v>
      </c>
      <c r="AC105" t="s">
        <v>550</v>
      </c>
      <c r="AD105" t="s">
        <v>551</v>
      </c>
      <c r="BR105" t="s">
        <v>549</v>
      </c>
    </row>
    <row r="106" spans="1:70">
      <c r="A106" t="s">
        <v>757</v>
      </c>
      <c r="B106" t="s">
        <v>361</v>
      </c>
      <c r="C106" t="s">
        <v>758</v>
      </c>
      <c r="D106" t="s">
        <v>759</v>
      </c>
      <c r="E106" t="s">
        <v>363</v>
      </c>
      <c r="F106">
        <v>1</v>
      </c>
      <c r="G106" t="s">
        <v>539</v>
      </c>
      <c r="H106" t="s">
        <v>760</v>
      </c>
      <c r="I106" t="s">
        <v>748</v>
      </c>
      <c r="J106" t="s">
        <v>542</v>
      </c>
      <c r="K106">
        <v>2301.6</v>
      </c>
      <c r="L106">
        <v>400</v>
      </c>
      <c r="M106" t="s">
        <v>543</v>
      </c>
      <c r="N106" t="s">
        <v>544</v>
      </c>
      <c r="O106">
        <v>89.46</v>
      </c>
      <c r="P106">
        <v>2701.6</v>
      </c>
      <c r="R106" t="s">
        <v>761</v>
      </c>
      <c r="S106">
        <v>1</v>
      </c>
      <c r="T106" t="s">
        <v>632</v>
      </c>
      <c r="U106" t="s">
        <v>547</v>
      </c>
      <c r="V106">
        <v>2301.6</v>
      </c>
      <c r="W106">
        <v>2301.6</v>
      </c>
      <c r="Z106" t="s">
        <v>633</v>
      </c>
      <c r="AA106" t="s">
        <v>549</v>
      </c>
      <c r="AB106" t="s">
        <v>748</v>
      </c>
      <c r="AC106" t="s">
        <v>550</v>
      </c>
      <c r="AD106" t="s">
        <v>551</v>
      </c>
      <c r="AE106" t="s">
        <v>361</v>
      </c>
      <c r="AF106" t="s">
        <v>762</v>
      </c>
      <c r="AG106" t="s">
        <v>763</v>
      </c>
      <c r="AI106" t="s">
        <v>764</v>
      </c>
      <c r="AJ106" t="s">
        <v>765</v>
      </c>
      <c r="AK106" t="s">
        <v>556</v>
      </c>
      <c r="AM106" t="s">
        <v>690</v>
      </c>
      <c r="AN106" t="s">
        <v>558</v>
      </c>
      <c r="AO106" t="s">
        <v>766</v>
      </c>
      <c r="AP106" t="s">
        <v>549</v>
      </c>
      <c r="AQ106" t="s">
        <v>549</v>
      </c>
      <c r="AR106" t="s">
        <v>767</v>
      </c>
      <c r="AS106" t="s">
        <v>361</v>
      </c>
      <c r="AT106" t="s">
        <v>762</v>
      </c>
      <c r="AU106" t="s">
        <v>763</v>
      </c>
      <c r="AW106" t="s">
        <v>764</v>
      </c>
      <c r="AX106" t="s">
        <v>765</v>
      </c>
      <c r="AY106" t="s">
        <v>556</v>
      </c>
      <c r="BA106" t="s">
        <v>690</v>
      </c>
      <c r="BB106" t="s">
        <v>558</v>
      </c>
      <c r="BC106" t="s">
        <v>766</v>
      </c>
      <c r="BD106" t="s">
        <v>767</v>
      </c>
      <c r="BH106" t="s">
        <v>560</v>
      </c>
      <c r="BI106" t="s">
        <v>561</v>
      </c>
      <c r="BK106" t="s">
        <v>607</v>
      </c>
      <c r="BL106" t="s">
        <v>562</v>
      </c>
      <c r="BM106" t="s">
        <v>768</v>
      </c>
      <c r="BN106">
        <v>1</v>
      </c>
      <c r="BO106">
        <v>22.79</v>
      </c>
      <c r="BP106">
        <v>20</v>
      </c>
      <c r="BQ106">
        <v>66.67</v>
      </c>
      <c r="BR106" t="s">
        <v>549</v>
      </c>
    </row>
    <row r="107" spans="1:70">
      <c r="A107" t="s">
        <v>769</v>
      </c>
      <c r="B107" t="s">
        <v>114</v>
      </c>
      <c r="C107" t="s">
        <v>770</v>
      </c>
      <c r="D107" t="s">
        <v>771</v>
      </c>
      <c r="E107" t="s">
        <v>135</v>
      </c>
      <c r="F107">
        <v>4</v>
      </c>
      <c r="G107" t="s">
        <v>539</v>
      </c>
      <c r="H107" t="s">
        <v>772</v>
      </c>
      <c r="I107" t="s">
        <v>748</v>
      </c>
      <c r="J107" t="s">
        <v>542</v>
      </c>
      <c r="K107">
        <v>56817.599999999999</v>
      </c>
      <c r="L107">
        <v>0</v>
      </c>
      <c r="M107" t="s">
        <v>570</v>
      </c>
      <c r="N107" t="s">
        <v>544</v>
      </c>
      <c r="O107">
        <v>562.54999999999995</v>
      </c>
      <c r="P107">
        <v>56817.599999999999</v>
      </c>
      <c r="R107" t="s">
        <v>773</v>
      </c>
      <c r="S107">
        <v>2</v>
      </c>
      <c r="T107" t="s">
        <v>659</v>
      </c>
      <c r="U107" t="s">
        <v>547</v>
      </c>
      <c r="V107">
        <v>3032.4</v>
      </c>
      <c r="W107">
        <v>3032.4</v>
      </c>
      <c r="Z107" t="s">
        <v>660</v>
      </c>
      <c r="AA107" t="s">
        <v>549</v>
      </c>
      <c r="AB107" t="s">
        <v>748</v>
      </c>
      <c r="AC107" t="s">
        <v>550</v>
      </c>
      <c r="AD107" t="s">
        <v>551</v>
      </c>
      <c r="AE107" t="s">
        <v>114</v>
      </c>
      <c r="AF107" t="s">
        <v>774</v>
      </c>
      <c r="AG107" t="s">
        <v>775</v>
      </c>
      <c r="AH107" t="s">
        <v>114</v>
      </c>
      <c r="AI107" t="s">
        <v>688</v>
      </c>
      <c r="AJ107" t="s">
        <v>776</v>
      </c>
      <c r="AK107" t="s">
        <v>556</v>
      </c>
      <c r="AM107" t="s">
        <v>777</v>
      </c>
      <c r="AN107" t="s">
        <v>558</v>
      </c>
      <c r="AO107" t="s">
        <v>115</v>
      </c>
      <c r="AP107" t="s">
        <v>778</v>
      </c>
      <c r="AQ107" t="s">
        <v>777</v>
      </c>
      <c r="AR107" t="s">
        <v>778</v>
      </c>
      <c r="AS107" t="s">
        <v>114</v>
      </c>
      <c r="AT107" t="s">
        <v>774</v>
      </c>
      <c r="AU107" t="s">
        <v>775</v>
      </c>
      <c r="AV107" t="s">
        <v>114</v>
      </c>
      <c r="AW107" t="s">
        <v>688</v>
      </c>
      <c r="AX107" t="s">
        <v>776</v>
      </c>
      <c r="AY107" t="s">
        <v>556</v>
      </c>
      <c r="BA107" t="s">
        <v>777</v>
      </c>
      <c r="BB107" t="s">
        <v>558</v>
      </c>
      <c r="BC107" t="s">
        <v>115</v>
      </c>
      <c r="BD107" t="s">
        <v>778</v>
      </c>
      <c r="BH107" t="s">
        <v>560</v>
      </c>
      <c r="BI107" t="s">
        <v>561</v>
      </c>
      <c r="BK107" t="s">
        <v>607</v>
      </c>
      <c r="BL107" t="s">
        <v>562</v>
      </c>
      <c r="BM107" t="s">
        <v>779</v>
      </c>
      <c r="BN107">
        <v>1</v>
      </c>
      <c r="BO107">
        <v>562.54999999999995</v>
      </c>
      <c r="BR107" t="s">
        <v>549</v>
      </c>
    </row>
    <row r="108" spans="1:70">
      <c r="A108" t="s">
        <v>769</v>
      </c>
      <c r="B108" t="s">
        <v>114</v>
      </c>
      <c r="C108" t="s">
        <v>770</v>
      </c>
      <c r="D108" t="s">
        <v>771</v>
      </c>
      <c r="E108" t="s">
        <v>135</v>
      </c>
      <c r="F108">
        <v>4</v>
      </c>
      <c r="H108" t="s">
        <v>772</v>
      </c>
      <c r="R108" t="s">
        <v>773</v>
      </c>
      <c r="S108">
        <v>1</v>
      </c>
      <c r="T108" t="s">
        <v>729</v>
      </c>
      <c r="U108" t="s">
        <v>547</v>
      </c>
      <c r="V108">
        <v>5737.2</v>
      </c>
      <c r="W108">
        <v>5737.2</v>
      </c>
      <c r="Z108" t="s">
        <v>730</v>
      </c>
      <c r="AA108" t="s">
        <v>549</v>
      </c>
      <c r="AB108" t="s">
        <v>748</v>
      </c>
      <c r="AC108" t="s">
        <v>550</v>
      </c>
      <c r="AD108" t="s">
        <v>551</v>
      </c>
      <c r="BR108" t="s">
        <v>549</v>
      </c>
    </row>
    <row r="109" spans="1:70">
      <c r="A109" t="s">
        <v>769</v>
      </c>
      <c r="B109" t="s">
        <v>114</v>
      </c>
      <c r="C109" t="s">
        <v>770</v>
      </c>
      <c r="D109" t="s">
        <v>771</v>
      </c>
      <c r="E109" t="s">
        <v>135</v>
      </c>
      <c r="F109">
        <v>4</v>
      </c>
      <c r="H109" t="s">
        <v>772</v>
      </c>
      <c r="R109" t="s">
        <v>773</v>
      </c>
      <c r="S109">
        <v>5</v>
      </c>
      <c r="T109" t="s">
        <v>588</v>
      </c>
      <c r="U109" t="s">
        <v>547</v>
      </c>
      <c r="V109">
        <v>4788</v>
      </c>
      <c r="W109">
        <v>4788</v>
      </c>
      <c r="Z109" t="s">
        <v>589</v>
      </c>
      <c r="AA109" t="s">
        <v>549</v>
      </c>
      <c r="AB109" t="s">
        <v>748</v>
      </c>
      <c r="AC109" t="s">
        <v>550</v>
      </c>
      <c r="AD109" t="s">
        <v>551</v>
      </c>
      <c r="BR109" t="s">
        <v>549</v>
      </c>
    </row>
    <row r="110" spans="1:70">
      <c r="A110" t="s">
        <v>769</v>
      </c>
      <c r="B110" t="s">
        <v>114</v>
      </c>
      <c r="C110" t="s">
        <v>770</v>
      </c>
      <c r="D110" t="s">
        <v>771</v>
      </c>
      <c r="E110" t="s">
        <v>135</v>
      </c>
      <c r="F110">
        <v>4</v>
      </c>
      <c r="H110" t="s">
        <v>772</v>
      </c>
      <c r="R110" t="s">
        <v>773</v>
      </c>
      <c r="S110">
        <v>3</v>
      </c>
      <c r="T110" t="s">
        <v>586</v>
      </c>
      <c r="U110" t="s">
        <v>547</v>
      </c>
      <c r="V110">
        <v>4998</v>
      </c>
      <c r="W110">
        <v>4998</v>
      </c>
      <c r="Z110" t="s">
        <v>587</v>
      </c>
      <c r="AA110" t="s">
        <v>549</v>
      </c>
      <c r="AB110" t="s">
        <v>748</v>
      </c>
      <c r="AC110" t="s">
        <v>550</v>
      </c>
      <c r="AD110" t="s">
        <v>551</v>
      </c>
      <c r="BR110" t="s">
        <v>549</v>
      </c>
    </row>
    <row r="111" spans="1:70">
      <c r="A111" t="s">
        <v>769</v>
      </c>
      <c r="B111" t="s">
        <v>114</v>
      </c>
      <c r="C111" t="s">
        <v>770</v>
      </c>
      <c r="D111" t="s">
        <v>771</v>
      </c>
      <c r="E111" t="s">
        <v>135</v>
      </c>
      <c r="F111">
        <v>4</v>
      </c>
      <c r="H111" t="s">
        <v>772</v>
      </c>
      <c r="R111" t="s">
        <v>773</v>
      </c>
      <c r="S111">
        <v>2</v>
      </c>
      <c r="T111" t="s">
        <v>584</v>
      </c>
      <c r="U111" t="s">
        <v>547</v>
      </c>
      <c r="V111">
        <v>3040.8</v>
      </c>
      <c r="W111">
        <v>3040.8</v>
      </c>
      <c r="Z111" t="s">
        <v>585</v>
      </c>
      <c r="AA111" t="s">
        <v>549</v>
      </c>
      <c r="AB111" t="s">
        <v>748</v>
      </c>
      <c r="AC111" t="s">
        <v>550</v>
      </c>
      <c r="AD111" t="s">
        <v>551</v>
      </c>
      <c r="BR111" t="s">
        <v>549</v>
      </c>
    </row>
    <row r="112" spans="1:70">
      <c r="A112" t="s">
        <v>780</v>
      </c>
      <c r="B112" t="s">
        <v>51</v>
      </c>
      <c r="C112" t="s">
        <v>781</v>
      </c>
      <c r="D112" t="s">
        <v>782</v>
      </c>
      <c r="E112" t="s">
        <v>172</v>
      </c>
      <c r="F112">
        <v>3</v>
      </c>
      <c r="G112" t="s">
        <v>539</v>
      </c>
      <c r="H112" t="s">
        <v>783</v>
      </c>
      <c r="I112" t="s">
        <v>748</v>
      </c>
      <c r="J112" t="s">
        <v>542</v>
      </c>
      <c r="K112">
        <v>14364</v>
      </c>
      <c r="L112">
        <v>400</v>
      </c>
      <c r="M112" t="s">
        <v>543</v>
      </c>
      <c r="N112" t="s">
        <v>544</v>
      </c>
      <c r="O112">
        <v>208.89</v>
      </c>
      <c r="P112">
        <v>14764</v>
      </c>
      <c r="R112" t="s">
        <v>784</v>
      </c>
      <c r="S112">
        <v>3</v>
      </c>
      <c r="T112" t="s">
        <v>588</v>
      </c>
      <c r="U112" t="s">
        <v>547</v>
      </c>
      <c r="V112">
        <v>4788</v>
      </c>
      <c r="W112">
        <v>4788</v>
      </c>
      <c r="Z112" t="s">
        <v>589</v>
      </c>
      <c r="AA112" t="s">
        <v>549</v>
      </c>
      <c r="AB112" t="s">
        <v>748</v>
      </c>
      <c r="AC112" t="s">
        <v>550</v>
      </c>
      <c r="AD112" t="s">
        <v>551</v>
      </c>
      <c r="AE112" t="s">
        <v>51</v>
      </c>
      <c r="AF112" t="s">
        <v>785</v>
      </c>
      <c r="AG112" t="s">
        <v>786</v>
      </c>
      <c r="AH112" t="s">
        <v>787</v>
      </c>
      <c r="AI112" t="s">
        <v>601</v>
      </c>
      <c r="AJ112" t="s">
        <v>788</v>
      </c>
      <c r="AK112" t="s">
        <v>556</v>
      </c>
      <c r="AM112" t="s">
        <v>603</v>
      </c>
      <c r="AN112" t="s">
        <v>558</v>
      </c>
      <c r="AO112" t="s">
        <v>52</v>
      </c>
      <c r="AP112" t="s">
        <v>789</v>
      </c>
      <c r="AQ112" t="s">
        <v>790</v>
      </c>
      <c r="AR112" t="s">
        <v>791</v>
      </c>
      <c r="AS112" t="s">
        <v>51</v>
      </c>
      <c r="AT112" t="s">
        <v>785</v>
      </c>
      <c r="AU112" t="s">
        <v>786</v>
      </c>
      <c r="AV112" t="s">
        <v>787</v>
      </c>
      <c r="AW112" t="s">
        <v>601</v>
      </c>
      <c r="AX112" t="s">
        <v>788</v>
      </c>
      <c r="AY112" t="s">
        <v>556</v>
      </c>
      <c r="BA112" t="s">
        <v>603</v>
      </c>
      <c r="BB112" t="s">
        <v>558</v>
      </c>
      <c r="BC112" t="s">
        <v>52</v>
      </c>
      <c r="BD112" t="s">
        <v>791</v>
      </c>
      <c r="BH112" t="s">
        <v>560</v>
      </c>
      <c r="BI112" t="s">
        <v>561</v>
      </c>
      <c r="BK112" t="s">
        <v>607</v>
      </c>
      <c r="BL112" t="s">
        <v>562</v>
      </c>
      <c r="BM112" t="s">
        <v>792</v>
      </c>
      <c r="BN112">
        <v>1</v>
      </c>
      <c r="BO112">
        <v>142.22</v>
      </c>
      <c r="BP112">
        <v>20</v>
      </c>
      <c r="BQ112">
        <v>66.67</v>
      </c>
      <c r="BR112" t="s">
        <v>549</v>
      </c>
    </row>
    <row r="113" spans="1:70">
      <c r="A113" t="s">
        <v>793</v>
      </c>
      <c r="B113" t="s">
        <v>56</v>
      </c>
      <c r="C113" t="s">
        <v>794</v>
      </c>
      <c r="D113" t="s">
        <v>795</v>
      </c>
      <c r="E113" t="s">
        <v>58</v>
      </c>
      <c r="F113">
        <v>4</v>
      </c>
      <c r="G113" t="s">
        <v>539</v>
      </c>
      <c r="H113" t="s">
        <v>796</v>
      </c>
      <c r="I113" t="s">
        <v>797</v>
      </c>
      <c r="J113" t="s">
        <v>542</v>
      </c>
      <c r="K113">
        <v>7347.2</v>
      </c>
      <c r="L113">
        <v>400</v>
      </c>
      <c r="M113" t="s">
        <v>543</v>
      </c>
      <c r="N113" t="s">
        <v>544</v>
      </c>
      <c r="O113">
        <v>139.41</v>
      </c>
      <c r="P113">
        <v>7747.2</v>
      </c>
      <c r="R113" t="s">
        <v>798</v>
      </c>
      <c r="S113">
        <v>2</v>
      </c>
      <c r="T113" t="s">
        <v>799</v>
      </c>
      <c r="U113" t="s">
        <v>547</v>
      </c>
      <c r="V113">
        <v>3673.6</v>
      </c>
      <c r="W113">
        <v>3673.6</v>
      </c>
      <c r="Z113" t="s">
        <v>800</v>
      </c>
      <c r="AA113" t="s">
        <v>549</v>
      </c>
      <c r="AB113" t="s">
        <v>797</v>
      </c>
      <c r="AC113" t="s">
        <v>550</v>
      </c>
      <c r="AD113" t="s">
        <v>551</v>
      </c>
      <c r="AE113" t="s">
        <v>56</v>
      </c>
      <c r="AF113" t="s">
        <v>801</v>
      </c>
      <c r="AG113" t="s">
        <v>802</v>
      </c>
      <c r="AI113" t="s">
        <v>803</v>
      </c>
      <c r="AJ113" t="s">
        <v>804</v>
      </c>
      <c r="AK113" t="s">
        <v>556</v>
      </c>
      <c r="AM113" t="s">
        <v>805</v>
      </c>
      <c r="AN113" t="s">
        <v>558</v>
      </c>
      <c r="AO113" t="s">
        <v>57</v>
      </c>
      <c r="AP113" t="s">
        <v>549</v>
      </c>
      <c r="AQ113" t="s">
        <v>549</v>
      </c>
      <c r="AR113" t="s">
        <v>806</v>
      </c>
      <c r="AS113" t="s">
        <v>56</v>
      </c>
      <c r="AT113" t="s">
        <v>801</v>
      </c>
      <c r="AU113" t="s">
        <v>802</v>
      </c>
      <c r="AW113" t="s">
        <v>803</v>
      </c>
      <c r="AX113" t="s">
        <v>804</v>
      </c>
      <c r="AY113" t="s">
        <v>556</v>
      </c>
      <c r="BA113" t="s">
        <v>805</v>
      </c>
      <c r="BB113" t="s">
        <v>558</v>
      </c>
      <c r="BC113" t="s">
        <v>57</v>
      </c>
      <c r="BD113" t="s">
        <v>806</v>
      </c>
      <c r="BH113" t="s">
        <v>560</v>
      </c>
      <c r="BI113" t="s">
        <v>561</v>
      </c>
      <c r="BK113" t="s">
        <v>607</v>
      </c>
      <c r="BL113" t="s">
        <v>562</v>
      </c>
      <c r="BM113" t="s">
        <v>807</v>
      </c>
      <c r="BN113">
        <v>1</v>
      </c>
      <c r="BO113">
        <v>72.739999999999995</v>
      </c>
      <c r="BP113">
        <v>20</v>
      </c>
      <c r="BQ113">
        <v>66.67</v>
      </c>
      <c r="BR113" t="s">
        <v>549</v>
      </c>
    </row>
    <row r="114" spans="1:70">
      <c r="A114" t="s">
        <v>808</v>
      </c>
      <c r="B114" t="s">
        <v>60</v>
      </c>
      <c r="C114" t="s">
        <v>809</v>
      </c>
      <c r="D114" t="s">
        <v>810</v>
      </c>
      <c r="E114" t="s">
        <v>62</v>
      </c>
      <c r="F114">
        <v>3</v>
      </c>
      <c r="G114" t="s">
        <v>539</v>
      </c>
      <c r="H114" t="s">
        <v>811</v>
      </c>
      <c r="I114" t="s">
        <v>748</v>
      </c>
      <c r="J114" t="s">
        <v>542</v>
      </c>
      <c r="K114">
        <v>5804.4</v>
      </c>
      <c r="L114">
        <v>400</v>
      </c>
      <c r="M114" t="s">
        <v>543</v>
      </c>
      <c r="N114" t="s">
        <v>544</v>
      </c>
      <c r="O114">
        <v>124.14</v>
      </c>
      <c r="P114">
        <v>6204.4</v>
      </c>
      <c r="R114" t="s">
        <v>812</v>
      </c>
      <c r="S114">
        <v>1</v>
      </c>
      <c r="T114" t="s">
        <v>586</v>
      </c>
      <c r="U114" t="s">
        <v>547</v>
      </c>
      <c r="V114">
        <v>4998</v>
      </c>
      <c r="W114">
        <v>4998</v>
      </c>
      <c r="Z114" t="s">
        <v>587</v>
      </c>
      <c r="AA114" t="s">
        <v>549</v>
      </c>
      <c r="AB114" t="s">
        <v>748</v>
      </c>
      <c r="AC114" t="s">
        <v>550</v>
      </c>
      <c r="AD114" t="s">
        <v>551</v>
      </c>
      <c r="AE114" t="s">
        <v>60</v>
      </c>
      <c r="AF114" t="s">
        <v>813</v>
      </c>
      <c r="AI114" t="s">
        <v>670</v>
      </c>
      <c r="AJ114" t="s">
        <v>814</v>
      </c>
      <c r="AK114" t="s">
        <v>556</v>
      </c>
      <c r="AM114" t="s">
        <v>815</v>
      </c>
      <c r="AN114" t="s">
        <v>558</v>
      </c>
      <c r="AO114" t="s">
        <v>61</v>
      </c>
      <c r="AP114" t="s">
        <v>549</v>
      </c>
      <c r="AQ114" t="s">
        <v>549</v>
      </c>
      <c r="AR114" t="s">
        <v>816</v>
      </c>
      <c r="AS114" t="s">
        <v>60</v>
      </c>
      <c r="AT114" t="s">
        <v>813</v>
      </c>
      <c r="AW114" t="s">
        <v>670</v>
      </c>
      <c r="AX114" t="s">
        <v>814</v>
      </c>
      <c r="AY114" t="s">
        <v>556</v>
      </c>
      <c r="BA114" t="s">
        <v>815</v>
      </c>
      <c r="BB114" t="s">
        <v>558</v>
      </c>
      <c r="BC114" t="s">
        <v>61</v>
      </c>
      <c r="BD114" t="s">
        <v>816</v>
      </c>
      <c r="BH114" t="s">
        <v>560</v>
      </c>
      <c r="BI114" t="s">
        <v>561</v>
      </c>
      <c r="BK114" t="s">
        <v>607</v>
      </c>
      <c r="BL114" t="s">
        <v>562</v>
      </c>
      <c r="BM114" t="s">
        <v>817</v>
      </c>
      <c r="BN114">
        <v>1</v>
      </c>
      <c r="BO114">
        <v>57.47</v>
      </c>
      <c r="BP114">
        <v>20</v>
      </c>
      <c r="BQ114">
        <v>66.67</v>
      </c>
      <c r="BR114" t="s">
        <v>549</v>
      </c>
    </row>
    <row r="115" spans="1:70">
      <c r="A115" t="s">
        <v>808</v>
      </c>
      <c r="B115" t="s">
        <v>60</v>
      </c>
      <c r="C115" t="s">
        <v>809</v>
      </c>
      <c r="D115" t="s">
        <v>810</v>
      </c>
      <c r="E115" t="s">
        <v>62</v>
      </c>
      <c r="F115">
        <v>3</v>
      </c>
      <c r="H115" t="s">
        <v>811</v>
      </c>
      <c r="R115" t="s">
        <v>812</v>
      </c>
      <c r="S115">
        <v>1</v>
      </c>
      <c r="T115" t="s">
        <v>818</v>
      </c>
      <c r="U115" t="s">
        <v>547</v>
      </c>
      <c r="V115">
        <v>806.4</v>
      </c>
      <c r="W115">
        <v>806.4</v>
      </c>
      <c r="Z115" t="s">
        <v>819</v>
      </c>
      <c r="AA115" t="s">
        <v>549</v>
      </c>
      <c r="AB115" t="s">
        <v>748</v>
      </c>
      <c r="AC115" t="s">
        <v>550</v>
      </c>
      <c r="AD115" t="s">
        <v>551</v>
      </c>
      <c r="BR115" t="s">
        <v>549</v>
      </c>
    </row>
    <row r="116" spans="1:70">
      <c r="A116" t="s">
        <v>820</v>
      </c>
      <c r="B116" t="s">
        <v>64</v>
      </c>
      <c r="C116" t="s">
        <v>821</v>
      </c>
      <c r="D116" t="s">
        <v>822</v>
      </c>
      <c r="E116" t="s">
        <v>374</v>
      </c>
      <c r="F116">
        <v>1</v>
      </c>
      <c r="G116" t="s">
        <v>539</v>
      </c>
      <c r="H116" t="s">
        <v>823</v>
      </c>
      <c r="I116" t="s">
        <v>748</v>
      </c>
      <c r="J116" t="s">
        <v>542</v>
      </c>
      <c r="K116">
        <v>6174</v>
      </c>
      <c r="L116">
        <v>400</v>
      </c>
      <c r="M116" t="s">
        <v>543</v>
      </c>
      <c r="N116" t="s">
        <v>544</v>
      </c>
      <c r="O116">
        <v>127.8</v>
      </c>
      <c r="P116">
        <v>6574</v>
      </c>
      <c r="R116" t="s">
        <v>824</v>
      </c>
      <c r="S116">
        <v>1</v>
      </c>
      <c r="T116" t="s">
        <v>572</v>
      </c>
      <c r="U116" t="s">
        <v>547</v>
      </c>
      <c r="V116">
        <v>6174</v>
      </c>
      <c r="W116">
        <v>6174</v>
      </c>
      <c r="Z116" t="s">
        <v>573</v>
      </c>
      <c r="AA116" t="s">
        <v>549</v>
      </c>
      <c r="AB116" t="s">
        <v>748</v>
      </c>
      <c r="AC116" t="s">
        <v>550</v>
      </c>
      <c r="AD116" t="s">
        <v>551</v>
      </c>
      <c r="AE116" t="s">
        <v>64</v>
      </c>
      <c r="AF116" t="s">
        <v>825</v>
      </c>
      <c r="AG116" t="s">
        <v>826</v>
      </c>
      <c r="AH116" t="s">
        <v>64</v>
      </c>
      <c r="AI116" t="s">
        <v>827</v>
      </c>
      <c r="AJ116" t="s">
        <v>828</v>
      </c>
      <c r="AK116" t="s">
        <v>556</v>
      </c>
      <c r="AM116" t="s">
        <v>690</v>
      </c>
      <c r="AN116" t="s">
        <v>558</v>
      </c>
      <c r="AO116" t="s">
        <v>65</v>
      </c>
      <c r="AP116" t="s">
        <v>829</v>
      </c>
      <c r="AQ116" t="s">
        <v>827</v>
      </c>
      <c r="AR116" t="s">
        <v>830</v>
      </c>
      <c r="AS116" t="s">
        <v>64</v>
      </c>
      <c r="AT116" t="s">
        <v>825</v>
      </c>
      <c r="AU116" t="s">
        <v>826</v>
      </c>
      <c r="AV116" t="s">
        <v>64</v>
      </c>
      <c r="AW116" t="s">
        <v>827</v>
      </c>
      <c r="AX116" t="s">
        <v>828</v>
      </c>
      <c r="AY116" t="s">
        <v>556</v>
      </c>
      <c r="BA116" t="s">
        <v>690</v>
      </c>
      <c r="BB116" t="s">
        <v>558</v>
      </c>
      <c r="BC116" t="s">
        <v>65</v>
      </c>
      <c r="BD116" t="s">
        <v>830</v>
      </c>
      <c r="BH116" t="s">
        <v>560</v>
      </c>
      <c r="BI116" t="s">
        <v>561</v>
      </c>
      <c r="BK116" t="s">
        <v>607</v>
      </c>
      <c r="BL116" t="s">
        <v>562</v>
      </c>
      <c r="BM116" t="s">
        <v>831</v>
      </c>
      <c r="BN116">
        <v>1</v>
      </c>
      <c r="BO116">
        <v>61.13</v>
      </c>
      <c r="BP116">
        <v>20</v>
      </c>
      <c r="BQ116">
        <v>66.67</v>
      </c>
      <c r="BR116" t="s">
        <v>549</v>
      </c>
    </row>
    <row r="117" spans="1:70">
      <c r="A117" t="s">
        <v>832</v>
      </c>
      <c r="B117" t="s">
        <v>68</v>
      </c>
      <c r="C117" t="s">
        <v>833</v>
      </c>
      <c r="D117" t="s">
        <v>834</v>
      </c>
      <c r="E117" t="s">
        <v>375</v>
      </c>
      <c r="F117">
        <v>2</v>
      </c>
      <c r="G117" t="s">
        <v>539</v>
      </c>
      <c r="H117" t="s">
        <v>835</v>
      </c>
      <c r="I117" t="s">
        <v>748</v>
      </c>
      <c r="J117" t="s">
        <v>542</v>
      </c>
      <c r="K117">
        <v>20624.8</v>
      </c>
      <c r="L117">
        <v>0</v>
      </c>
      <c r="M117" t="s">
        <v>570</v>
      </c>
      <c r="N117" t="s">
        <v>544</v>
      </c>
      <c r="O117">
        <v>204.21</v>
      </c>
      <c r="P117">
        <v>20624.8</v>
      </c>
      <c r="R117" t="s">
        <v>836</v>
      </c>
      <c r="S117">
        <v>4</v>
      </c>
      <c r="T117" t="s">
        <v>837</v>
      </c>
      <c r="U117" t="s">
        <v>547</v>
      </c>
      <c r="V117">
        <v>1680</v>
      </c>
      <c r="W117">
        <v>1680</v>
      </c>
      <c r="Z117" t="s">
        <v>838</v>
      </c>
      <c r="AA117" t="s">
        <v>549</v>
      </c>
      <c r="AB117" t="s">
        <v>748</v>
      </c>
      <c r="AC117" t="s">
        <v>550</v>
      </c>
      <c r="AD117" t="s">
        <v>551</v>
      </c>
      <c r="AE117" t="s">
        <v>839</v>
      </c>
      <c r="AF117" t="s">
        <v>840</v>
      </c>
      <c r="AG117" t="s">
        <v>841</v>
      </c>
      <c r="AI117" t="s">
        <v>577</v>
      </c>
      <c r="AJ117" t="s">
        <v>842</v>
      </c>
      <c r="AK117" t="s">
        <v>556</v>
      </c>
      <c r="AM117" t="s">
        <v>843</v>
      </c>
      <c r="AN117" t="s">
        <v>558</v>
      </c>
      <c r="AO117" t="s">
        <v>69</v>
      </c>
      <c r="AP117" t="s">
        <v>549</v>
      </c>
      <c r="AQ117" t="s">
        <v>549</v>
      </c>
      <c r="AR117" t="s">
        <v>844</v>
      </c>
      <c r="AS117" t="s">
        <v>839</v>
      </c>
      <c r="AT117" t="s">
        <v>840</v>
      </c>
      <c r="AU117" t="s">
        <v>841</v>
      </c>
      <c r="AW117" t="s">
        <v>577</v>
      </c>
      <c r="AX117" t="s">
        <v>842</v>
      </c>
      <c r="AY117" t="s">
        <v>556</v>
      </c>
      <c r="BA117" t="s">
        <v>843</v>
      </c>
      <c r="BB117" t="s">
        <v>558</v>
      </c>
      <c r="BC117" t="s">
        <v>69</v>
      </c>
      <c r="BD117" t="s">
        <v>844</v>
      </c>
      <c r="BH117" t="s">
        <v>560</v>
      </c>
      <c r="BI117" t="s">
        <v>561</v>
      </c>
      <c r="BK117" t="s">
        <v>607</v>
      </c>
      <c r="BL117" t="s">
        <v>562</v>
      </c>
      <c r="BM117" t="s">
        <v>845</v>
      </c>
      <c r="BN117">
        <v>1</v>
      </c>
      <c r="BO117">
        <v>204.21</v>
      </c>
      <c r="BR117" t="s">
        <v>549</v>
      </c>
    </row>
    <row r="118" spans="1:70">
      <c r="A118" t="s">
        <v>832</v>
      </c>
      <c r="B118" t="s">
        <v>68</v>
      </c>
      <c r="C118" t="s">
        <v>833</v>
      </c>
      <c r="D118" t="s">
        <v>834</v>
      </c>
      <c r="E118" t="s">
        <v>375</v>
      </c>
      <c r="F118">
        <v>2</v>
      </c>
      <c r="H118" t="s">
        <v>835</v>
      </c>
      <c r="R118" t="s">
        <v>836</v>
      </c>
      <c r="S118">
        <v>1</v>
      </c>
      <c r="T118" t="s">
        <v>588</v>
      </c>
      <c r="U118" t="s">
        <v>547</v>
      </c>
      <c r="V118">
        <v>4788</v>
      </c>
      <c r="W118">
        <v>4788</v>
      </c>
      <c r="Z118" t="s">
        <v>589</v>
      </c>
      <c r="AA118" t="s">
        <v>549</v>
      </c>
      <c r="AB118" t="s">
        <v>748</v>
      </c>
      <c r="AC118" t="s">
        <v>550</v>
      </c>
      <c r="AD118" t="s">
        <v>551</v>
      </c>
      <c r="BR118" t="s">
        <v>549</v>
      </c>
    </row>
    <row r="119" spans="1:70">
      <c r="A119" t="s">
        <v>832</v>
      </c>
      <c r="B119" t="s">
        <v>68</v>
      </c>
      <c r="C119" t="s">
        <v>833</v>
      </c>
      <c r="D119" t="s">
        <v>834</v>
      </c>
      <c r="E119" t="s">
        <v>375</v>
      </c>
      <c r="F119">
        <v>2</v>
      </c>
      <c r="H119" t="s">
        <v>835</v>
      </c>
      <c r="R119" t="s">
        <v>836</v>
      </c>
      <c r="S119">
        <v>1</v>
      </c>
      <c r="T119" t="s">
        <v>609</v>
      </c>
      <c r="U119" t="s">
        <v>547</v>
      </c>
      <c r="V119">
        <v>5056.8</v>
      </c>
      <c r="W119">
        <v>5056.8</v>
      </c>
      <c r="Z119" t="s">
        <v>610</v>
      </c>
      <c r="AA119" t="s">
        <v>549</v>
      </c>
      <c r="AB119" t="s">
        <v>748</v>
      </c>
      <c r="AC119" t="s">
        <v>550</v>
      </c>
      <c r="AD119" t="s">
        <v>551</v>
      </c>
      <c r="BR119" t="s">
        <v>549</v>
      </c>
    </row>
    <row r="120" spans="1:70">
      <c r="A120" t="s">
        <v>832</v>
      </c>
      <c r="B120" t="s">
        <v>68</v>
      </c>
      <c r="C120" t="s">
        <v>833</v>
      </c>
      <c r="D120" t="s">
        <v>834</v>
      </c>
      <c r="E120" t="s">
        <v>375</v>
      </c>
      <c r="F120">
        <v>2</v>
      </c>
      <c r="H120" t="s">
        <v>835</v>
      </c>
      <c r="R120" t="s">
        <v>836</v>
      </c>
      <c r="S120">
        <v>1</v>
      </c>
      <c r="T120" t="s">
        <v>846</v>
      </c>
      <c r="U120" t="s">
        <v>547</v>
      </c>
      <c r="V120">
        <v>4060</v>
      </c>
      <c r="W120">
        <v>4060</v>
      </c>
      <c r="Z120" t="s">
        <v>847</v>
      </c>
      <c r="AA120" t="s">
        <v>549</v>
      </c>
      <c r="AB120" t="s">
        <v>748</v>
      </c>
      <c r="AC120" t="s">
        <v>550</v>
      </c>
      <c r="AD120" t="s">
        <v>551</v>
      </c>
      <c r="BR120" t="s">
        <v>549</v>
      </c>
    </row>
    <row r="121" spans="1:70">
      <c r="A121" t="s">
        <v>848</v>
      </c>
      <c r="B121" t="s">
        <v>72</v>
      </c>
      <c r="C121" t="s">
        <v>849</v>
      </c>
      <c r="D121" t="s">
        <v>850</v>
      </c>
      <c r="E121" t="s">
        <v>74</v>
      </c>
      <c r="F121">
        <v>2</v>
      </c>
      <c r="G121" t="s">
        <v>539</v>
      </c>
      <c r="H121" t="s">
        <v>851</v>
      </c>
      <c r="I121" t="s">
        <v>748</v>
      </c>
      <c r="J121" t="s">
        <v>542</v>
      </c>
      <c r="K121">
        <v>27933.5</v>
      </c>
      <c r="L121">
        <v>0</v>
      </c>
      <c r="M121" t="s">
        <v>570</v>
      </c>
      <c r="N121" t="s">
        <v>544</v>
      </c>
      <c r="O121">
        <v>276.57</v>
      </c>
      <c r="P121">
        <v>27933.5</v>
      </c>
      <c r="R121" t="s">
        <v>852</v>
      </c>
      <c r="S121">
        <v>1</v>
      </c>
      <c r="T121" t="s">
        <v>588</v>
      </c>
      <c r="U121" t="s">
        <v>547</v>
      </c>
      <c r="V121">
        <v>4788</v>
      </c>
      <c r="W121">
        <v>4788</v>
      </c>
      <c r="Z121" t="s">
        <v>589</v>
      </c>
      <c r="AA121" t="s">
        <v>549</v>
      </c>
      <c r="AB121" t="s">
        <v>748</v>
      </c>
      <c r="AC121" t="s">
        <v>550</v>
      </c>
      <c r="AD121" t="s">
        <v>551</v>
      </c>
      <c r="AE121" t="s">
        <v>853</v>
      </c>
      <c r="AF121" t="s">
        <v>854</v>
      </c>
      <c r="AG121" t="s">
        <v>855</v>
      </c>
      <c r="AH121" t="s">
        <v>856</v>
      </c>
      <c r="AI121" t="s">
        <v>577</v>
      </c>
      <c r="AJ121" t="s">
        <v>857</v>
      </c>
      <c r="AK121" t="s">
        <v>556</v>
      </c>
      <c r="AM121" t="s">
        <v>858</v>
      </c>
      <c r="AN121" t="s">
        <v>558</v>
      </c>
      <c r="AO121" t="s">
        <v>73</v>
      </c>
      <c r="AP121" t="s">
        <v>859</v>
      </c>
      <c r="AQ121" t="s">
        <v>858</v>
      </c>
      <c r="AR121" t="s">
        <v>860</v>
      </c>
      <c r="AS121" t="s">
        <v>853</v>
      </c>
      <c r="AT121" t="s">
        <v>854</v>
      </c>
      <c r="AU121" t="s">
        <v>855</v>
      </c>
      <c r="AV121" t="s">
        <v>856</v>
      </c>
      <c r="AW121" t="s">
        <v>577</v>
      </c>
      <c r="AX121" t="s">
        <v>857</v>
      </c>
      <c r="AY121" t="s">
        <v>556</v>
      </c>
      <c r="BA121" t="s">
        <v>858</v>
      </c>
      <c r="BB121" t="s">
        <v>558</v>
      </c>
      <c r="BC121" t="s">
        <v>73</v>
      </c>
      <c r="BD121" t="s">
        <v>860</v>
      </c>
      <c r="BH121" t="s">
        <v>560</v>
      </c>
      <c r="BI121" t="s">
        <v>561</v>
      </c>
      <c r="BK121" t="s">
        <v>607</v>
      </c>
      <c r="BL121" t="s">
        <v>562</v>
      </c>
      <c r="BM121" t="s">
        <v>861</v>
      </c>
      <c r="BN121">
        <v>1</v>
      </c>
      <c r="BO121">
        <v>276.57</v>
      </c>
      <c r="BR121" t="s">
        <v>549</v>
      </c>
    </row>
    <row r="122" spans="1:70">
      <c r="A122" t="s">
        <v>848</v>
      </c>
      <c r="B122" t="s">
        <v>72</v>
      </c>
      <c r="C122" t="s">
        <v>849</v>
      </c>
      <c r="D122" t="s">
        <v>850</v>
      </c>
      <c r="E122" t="s">
        <v>74</v>
      </c>
      <c r="F122">
        <v>2</v>
      </c>
      <c r="H122" t="s">
        <v>851</v>
      </c>
      <c r="R122" t="s">
        <v>852</v>
      </c>
      <c r="S122">
        <v>1</v>
      </c>
      <c r="T122" t="s">
        <v>595</v>
      </c>
      <c r="U122" t="s">
        <v>547</v>
      </c>
      <c r="V122">
        <v>6854.4</v>
      </c>
      <c r="W122">
        <v>6854.4</v>
      </c>
      <c r="Z122" t="s">
        <v>596</v>
      </c>
      <c r="AA122" t="s">
        <v>549</v>
      </c>
      <c r="AB122" t="s">
        <v>748</v>
      </c>
      <c r="AC122" t="s">
        <v>550</v>
      </c>
      <c r="AD122" t="s">
        <v>551</v>
      </c>
      <c r="BR122" t="s">
        <v>549</v>
      </c>
    </row>
    <row r="123" spans="1:70">
      <c r="A123" t="s">
        <v>848</v>
      </c>
      <c r="B123" t="s">
        <v>72</v>
      </c>
      <c r="C123" t="s">
        <v>849</v>
      </c>
      <c r="D123" t="s">
        <v>850</v>
      </c>
      <c r="E123" t="s">
        <v>74</v>
      </c>
      <c r="F123">
        <v>2</v>
      </c>
      <c r="H123" t="s">
        <v>851</v>
      </c>
      <c r="R123" t="s">
        <v>852</v>
      </c>
      <c r="S123">
        <v>1</v>
      </c>
      <c r="T123" t="s">
        <v>584</v>
      </c>
      <c r="U123" t="s">
        <v>547</v>
      </c>
      <c r="V123">
        <v>3040.8</v>
      </c>
      <c r="W123">
        <v>3040.8</v>
      </c>
      <c r="Z123" t="s">
        <v>585</v>
      </c>
      <c r="AA123" t="s">
        <v>549</v>
      </c>
      <c r="AB123" t="s">
        <v>748</v>
      </c>
      <c r="AC123" t="s">
        <v>550</v>
      </c>
      <c r="AD123" t="s">
        <v>551</v>
      </c>
      <c r="BR123" t="s">
        <v>549</v>
      </c>
    </row>
    <row r="124" spans="1:70">
      <c r="A124" t="s">
        <v>848</v>
      </c>
      <c r="B124" t="s">
        <v>72</v>
      </c>
      <c r="C124" t="s">
        <v>849</v>
      </c>
      <c r="D124" t="s">
        <v>850</v>
      </c>
      <c r="E124" t="s">
        <v>74</v>
      </c>
      <c r="F124">
        <v>2</v>
      </c>
      <c r="H124" t="s">
        <v>851</v>
      </c>
      <c r="R124" t="s">
        <v>852</v>
      </c>
      <c r="S124">
        <v>1</v>
      </c>
      <c r="T124" t="s">
        <v>628</v>
      </c>
      <c r="U124" t="s">
        <v>547</v>
      </c>
      <c r="V124">
        <v>6314</v>
      </c>
      <c r="W124">
        <v>6314</v>
      </c>
      <c r="Z124" t="s">
        <v>629</v>
      </c>
      <c r="AA124" t="s">
        <v>549</v>
      </c>
      <c r="AB124" t="s">
        <v>748</v>
      </c>
      <c r="AC124" t="s">
        <v>550</v>
      </c>
      <c r="AD124" t="s">
        <v>551</v>
      </c>
      <c r="BR124" t="s">
        <v>549</v>
      </c>
    </row>
    <row r="125" spans="1:70">
      <c r="A125" t="s">
        <v>848</v>
      </c>
      <c r="B125" t="s">
        <v>72</v>
      </c>
      <c r="C125" t="s">
        <v>849</v>
      </c>
      <c r="D125" t="s">
        <v>850</v>
      </c>
      <c r="E125" t="s">
        <v>74</v>
      </c>
      <c r="F125">
        <v>2</v>
      </c>
      <c r="H125" t="s">
        <v>851</v>
      </c>
      <c r="R125" t="s">
        <v>852</v>
      </c>
      <c r="S125">
        <v>1</v>
      </c>
      <c r="T125" t="s">
        <v>862</v>
      </c>
      <c r="U125" t="s">
        <v>547</v>
      </c>
      <c r="V125">
        <v>6936.3</v>
      </c>
      <c r="W125">
        <v>9248.4</v>
      </c>
      <c r="X125">
        <v>6936.3</v>
      </c>
      <c r="Z125" t="s">
        <v>863</v>
      </c>
      <c r="AA125" t="s">
        <v>549</v>
      </c>
      <c r="AB125" t="s">
        <v>748</v>
      </c>
      <c r="AC125" t="s">
        <v>550</v>
      </c>
      <c r="AD125" t="s">
        <v>551</v>
      </c>
      <c r="BR125" t="s">
        <v>549</v>
      </c>
    </row>
    <row r="126" spans="1:70">
      <c r="A126" t="s">
        <v>864</v>
      </c>
      <c r="B126" t="s">
        <v>75</v>
      </c>
      <c r="C126" t="s">
        <v>865</v>
      </c>
      <c r="D126" t="s">
        <v>866</v>
      </c>
      <c r="E126" t="s">
        <v>77</v>
      </c>
      <c r="F126">
        <v>2</v>
      </c>
      <c r="G126" t="s">
        <v>539</v>
      </c>
      <c r="H126" t="s">
        <v>867</v>
      </c>
      <c r="I126" t="s">
        <v>748</v>
      </c>
      <c r="J126" t="s">
        <v>542</v>
      </c>
      <c r="K126">
        <v>8400</v>
      </c>
      <c r="L126">
        <v>400</v>
      </c>
      <c r="M126" t="s">
        <v>543</v>
      </c>
      <c r="N126" t="s">
        <v>544</v>
      </c>
      <c r="O126">
        <v>149.84</v>
      </c>
      <c r="P126">
        <v>8800</v>
      </c>
      <c r="R126" t="s">
        <v>868</v>
      </c>
      <c r="S126">
        <v>2</v>
      </c>
      <c r="T126" t="s">
        <v>869</v>
      </c>
      <c r="U126" t="s">
        <v>547</v>
      </c>
      <c r="V126">
        <v>4200</v>
      </c>
      <c r="W126">
        <v>4200</v>
      </c>
      <c r="Z126" t="s">
        <v>870</v>
      </c>
      <c r="AA126" t="s">
        <v>549</v>
      </c>
      <c r="AB126" t="s">
        <v>748</v>
      </c>
      <c r="AC126" t="s">
        <v>550</v>
      </c>
      <c r="AD126" t="s">
        <v>551</v>
      </c>
      <c r="AE126" t="s">
        <v>871</v>
      </c>
      <c r="AF126" t="s">
        <v>872</v>
      </c>
      <c r="AG126" t="s">
        <v>873</v>
      </c>
      <c r="AI126" t="s">
        <v>577</v>
      </c>
      <c r="AJ126" t="s">
        <v>874</v>
      </c>
      <c r="AK126" t="s">
        <v>556</v>
      </c>
      <c r="AM126" t="s">
        <v>875</v>
      </c>
      <c r="AN126" t="s">
        <v>558</v>
      </c>
      <c r="AO126" t="s">
        <v>76</v>
      </c>
      <c r="AP126" t="s">
        <v>549</v>
      </c>
      <c r="AQ126" t="s">
        <v>549</v>
      </c>
      <c r="AR126" t="s">
        <v>876</v>
      </c>
      <c r="AS126" t="s">
        <v>871</v>
      </c>
      <c r="AT126" t="s">
        <v>872</v>
      </c>
      <c r="AU126" t="s">
        <v>873</v>
      </c>
      <c r="AW126" t="s">
        <v>577</v>
      </c>
      <c r="AX126" t="s">
        <v>874</v>
      </c>
      <c r="AY126" t="s">
        <v>556</v>
      </c>
      <c r="BA126" t="s">
        <v>875</v>
      </c>
      <c r="BB126" t="s">
        <v>558</v>
      </c>
      <c r="BC126" t="s">
        <v>76</v>
      </c>
      <c r="BD126" t="s">
        <v>876</v>
      </c>
      <c r="BH126" t="s">
        <v>560</v>
      </c>
      <c r="BI126" t="s">
        <v>561</v>
      </c>
      <c r="BK126" t="s">
        <v>607</v>
      </c>
      <c r="BL126" t="s">
        <v>562</v>
      </c>
      <c r="BM126" t="s">
        <v>877</v>
      </c>
      <c r="BN126">
        <v>1</v>
      </c>
      <c r="BO126">
        <v>83.17</v>
      </c>
      <c r="BP126">
        <v>20</v>
      </c>
      <c r="BQ126">
        <v>66.67</v>
      </c>
      <c r="BR126" t="s">
        <v>549</v>
      </c>
    </row>
    <row r="127" spans="1:70">
      <c r="A127" t="s">
        <v>878</v>
      </c>
      <c r="B127" t="s">
        <v>32</v>
      </c>
      <c r="C127" t="s">
        <v>567</v>
      </c>
      <c r="D127" t="s">
        <v>568</v>
      </c>
      <c r="E127" t="s">
        <v>34</v>
      </c>
      <c r="F127">
        <v>9</v>
      </c>
      <c r="G127" t="s">
        <v>539</v>
      </c>
      <c r="H127" t="s">
        <v>879</v>
      </c>
      <c r="I127" t="s">
        <v>748</v>
      </c>
      <c r="J127" t="s">
        <v>542</v>
      </c>
      <c r="K127">
        <v>61079.199999999997</v>
      </c>
      <c r="L127">
        <v>0</v>
      </c>
      <c r="M127" t="s">
        <v>570</v>
      </c>
      <c r="N127" t="s">
        <v>544</v>
      </c>
      <c r="O127">
        <v>544.27</v>
      </c>
      <c r="P127">
        <v>54971.28</v>
      </c>
      <c r="Q127">
        <v>6107.92</v>
      </c>
      <c r="R127" t="s">
        <v>880</v>
      </c>
      <c r="S127">
        <v>2</v>
      </c>
      <c r="T127" t="s">
        <v>628</v>
      </c>
      <c r="U127" t="s">
        <v>547</v>
      </c>
      <c r="V127">
        <v>5682.6</v>
      </c>
      <c r="W127">
        <v>6314</v>
      </c>
      <c r="Z127" t="s">
        <v>629</v>
      </c>
      <c r="AA127" t="s">
        <v>549</v>
      </c>
      <c r="AB127" t="s">
        <v>748</v>
      </c>
      <c r="AC127" t="s">
        <v>550</v>
      </c>
      <c r="AD127" t="s">
        <v>551</v>
      </c>
      <c r="AE127" t="s">
        <v>32</v>
      </c>
      <c r="AF127" t="s">
        <v>574</v>
      </c>
      <c r="AG127" t="s">
        <v>575</v>
      </c>
      <c r="AH127" t="s">
        <v>576</v>
      </c>
      <c r="AI127" t="s">
        <v>577</v>
      </c>
      <c r="AJ127" t="s">
        <v>578</v>
      </c>
      <c r="AK127" t="s">
        <v>556</v>
      </c>
      <c r="AM127" t="s">
        <v>579</v>
      </c>
      <c r="AN127" t="s">
        <v>558</v>
      </c>
      <c r="AO127" t="s">
        <v>33</v>
      </c>
      <c r="AP127" t="s">
        <v>580</v>
      </c>
      <c r="AQ127" t="s">
        <v>581</v>
      </c>
      <c r="AR127" t="s">
        <v>582</v>
      </c>
      <c r="AS127" t="s">
        <v>32</v>
      </c>
      <c r="AT127" t="s">
        <v>574</v>
      </c>
      <c r="AU127" t="s">
        <v>575</v>
      </c>
      <c r="AV127" t="s">
        <v>576</v>
      </c>
      <c r="AW127" t="s">
        <v>577</v>
      </c>
      <c r="AX127" t="s">
        <v>578</v>
      </c>
      <c r="AY127" t="s">
        <v>556</v>
      </c>
      <c r="BA127" t="s">
        <v>579</v>
      </c>
      <c r="BB127" t="s">
        <v>558</v>
      </c>
      <c r="BC127" t="s">
        <v>33</v>
      </c>
      <c r="BD127" t="s">
        <v>582</v>
      </c>
      <c r="BH127" t="s">
        <v>560</v>
      </c>
      <c r="BI127" t="s">
        <v>561</v>
      </c>
      <c r="BK127" t="s">
        <v>607</v>
      </c>
      <c r="BL127" t="s">
        <v>562</v>
      </c>
      <c r="BM127" t="s">
        <v>881</v>
      </c>
      <c r="BN127">
        <v>1</v>
      </c>
      <c r="BO127">
        <v>544.27</v>
      </c>
      <c r="BR127" t="s">
        <v>549</v>
      </c>
    </row>
    <row r="128" spans="1:70">
      <c r="A128" t="s">
        <v>878</v>
      </c>
      <c r="B128" t="s">
        <v>32</v>
      </c>
      <c r="C128" t="s">
        <v>567</v>
      </c>
      <c r="D128" t="s">
        <v>568</v>
      </c>
      <c r="E128" t="s">
        <v>34</v>
      </c>
      <c r="F128">
        <v>9</v>
      </c>
      <c r="H128" t="s">
        <v>879</v>
      </c>
      <c r="R128" t="s">
        <v>880</v>
      </c>
      <c r="S128">
        <v>4</v>
      </c>
      <c r="T128" t="s">
        <v>818</v>
      </c>
      <c r="U128" t="s">
        <v>547</v>
      </c>
      <c r="V128">
        <v>725.76</v>
      </c>
      <c r="W128">
        <v>806.4</v>
      </c>
      <c r="Z128" t="s">
        <v>819</v>
      </c>
      <c r="AA128" t="s">
        <v>549</v>
      </c>
      <c r="AB128" t="s">
        <v>748</v>
      </c>
      <c r="AC128" t="s">
        <v>550</v>
      </c>
      <c r="AD128" t="s">
        <v>551</v>
      </c>
      <c r="BR128" t="s">
        <v>549</v>
      </c>
    </row>
    <row r="129" spans="1:70">
      <c r="A129" t="s">
        <v>878</v>
      </c>
      <c r="B129" t="s">
        <v>32</v>
      </c>
      <c r="C129" t="s">
        <v>567</v>
      </c>
      <c r="D129" t="s">
        <v>568</v>
      </c>
      <c r="E129" t="s">
        <v>34</v>
      </c>
      <c r="F129">
        <v>9</v>
      </c>
      <c r="H129" t="s">
        <v>879</v>
      </c>
      <c r="R129" t="s">
        <v>880</v>
      </c>
      <c r="S129">
        <v>2</v>
      </c>
      <c r="T129" t="s">
        <v>584</v>
      </c>
      <c r="U129" t="s">
        <v>547</v>
      </c>
      <c r="V129">
        <v>2736.72</v>
      </c>
      <c r="W129">
        <v>3040.8</v>
      </c>
      <c r="Z129" t="s">
        <v>585</v>
      </c>
      <c r="AA129" t="s">
        <v>549</v>
      </c>
      <c r="AB129" t="s">
        <v>748</v>
      </c>
      <c r="AC129" t="s">
        <v>550</v>
      </c>
      <c r="AD129" t="s">
        <v>551</v>
      </c>
      <c r="BR129" t="s">
        <v>549</v>
      </c>
    </row>
    <row r="130" spans="1:70">
      <c r="A130" t="s">
        <v>878</v>
      </c>
      <c r="B130" t="s">
        <v>32</v>
      </c>
      <c r="C130" t="s">
        <v>567</v>
      </c>
      <c r="D130" t="s">
        <v>568</v>
      </c>
      <c r="E130" t="s">
        <v>34</v>
      </c>
      <c r="F130">
        <v>9</v>
      </c>
      <c r="H130" t="s">
        <v>879</v>
      </c>
      <c r="R130" t="s">
        <v>880</v>
      </c>
      <c r="S130">
        <v>4</v>
      </c>
      <c r="T130" t="s">
        <v>588</v>
      </c>
      <c r="U130" t="s">
        <v>547</v>
      </c>
      <c r="V130">
        <v>4309.2</v>
      </c>
      <c r="W130">
        <v>4788</v>
      </c>
      <c r="Z130" t="s">
        <v>589</v>
      </c>
      <c r="AA130" t="s">
        <v>549</v>
      </c>
      <c r="AB130" t="s">
        <v>748</v>
      </c>
      <c r="AC130" t="s">
        <v>550</v>
      </c>
      <c r="AD130" t="s">
        <v>551</v>
      </c>
      <c r="BR130" t="s">
        <v>549</v>
      </c>
    </row>
    <row r="131" spans="1:70">
      <c r="A131" t="s">
        <v>878</v>
      </c>
      <c r="B131" t="s">
        <v>32</v>
      </c>
      <c r="C131" t="s">
        <v>567</v>
      </c>
      <c r="D131" t="s">
        <v>568</v>
      </c>
      <c r="E131" t="s">
        <v>34</v>
      </c>
      <c r="F131">
        <v>9</v>
      </c>
      <c r="H131" t="s">
        <v>879</v>
      </c>
      <c r="R131" t="s">
        <v>880</v>
      </c>
      <c r="S131">
        <v>4</v>
      </c>
      <c r="T131" t="s">
        <v>586</v>
      </c>
      <c r="U131" t="s">
        <v>547</v>
      </c>
      <c r="V131">
        <v>4498.2</v>
      </c>
      <c r="W131">
        <v>4998</v>
      </c>
      <c r="Z131" t="s">
        <v>587</v>
      </c>
      <c r="AA131" t="s">
        <v>549</v>
      </c>
      <c r="AB131" t="s">
        <v>748</v>
      </c>
      <c r="AC131" t="s">
        <v>550</v>
      </c>
      <c r="AD131" t="s">
        <v>551</v>
      </c>
      <c r="BR131" t="s">
        <v>549</v>
      </c>
    </row>
    <row r="132" spans="1:70">
      <c r="A132" t="s">
        <v>882</v>
      </c>
      <c r="B132" t="s">
        <v>307</v>
      </c>
      <c r="C132" t="s">
        <v>883</v>
      </c>
      <c r="D132" t="s">
        <v>884</v>
      </c>
      <c r="E132" t="s">
        <v>309</v>
      </c>
      <c r="F132">
        <v>3</v>
      </c>
      <c r="G132" t="s">
        <v>539</v>
      </c>
      <c r="H132" t="s">
        <v>885</v>
      </c>
      <c r="I132" t="s">
        <v>748</v>
      </c>
      <c r="J132" t="s">
        <v>542</v>
      </c>
      <c r="K132">
        <v>49875</v>
      </c>
      <c r="L132">
        <v>0</v>
      </c>
      <c r="M132" t="s">
        <v>570</v>
      </c>
      <c r="N132" t="s">
        <v>544</v>
      </c>
      <c r="O132">
        <v>444.43</v>
      </c>
      <c r="P132">
        <v>44887.5</v>
      </c>
      <c r="Q132">
        <v>4987.5</v>
      </c>
      <c r="R132" t="s">
        <v>886</v>
      </c>
      <c r="S132">
        <v>15</v>
      </c>
      <c r="T132" t="s">
        <v>704</v>
      </c>
      <c r="U132" t="s">
        <v>547</v>
      </c>
      <c r="V132">
        <v>2721.6</v>
      </c>
      <c r="W132">
        <v>3024</v>
      </c>
      <c r="Z132" t="s">
        <v>705</v>
      </c>
      <c r="AA132" t="s">
        <v>549</v>
      </c>
      <c r="AB132" t="s">
        <v>748</v>
      </c>
      <c r="AC132" t="s">
        <v>550</v>
      </c>
      <c r="AD132" t="s">
        <v>551</v>
      </c>
      <c r="AE132" t="s">
        <v>307</v>
      </c>
      <c r="AF132" t="s">
        <v>887</v>
      </c>
      <c r="AI132" t="s">
        <v>688</v>
      </c>
      <c r="AJ132" t="s">
        <v>776</v>
      </c>
      <c r="AK132" t="s">
        <v>556</v>
      </c>
      <c r="AM132" t="s">
        <v>777</v>
      </c>
      <c r="AN132" t="s">
        <v>558</v>
      </c>
      <c r="AO132" t="s">
        <v>308</v>
      </c>
      <c r="AP132" t="s">
        <v>549</v>
      </c>
      <c r="AQ132" t="s">
        <v>549</v>
      </c>
      <c r="AR132" t="s">
        <v>888</v>
      </c>
      <c r="AS132" t="s">
        <v>307</v>
      </c>
      <c r="AT132" t="s">
        <v>887</v>
      </c>
      <c r="AW132" t="s">
        <v>688</v>
      </c>
      <c r="AX132" t="s">
        <v>776</v>
      </c>
      <c r="AY132" t="s">
        <v>556</v>
      </c>
      <c r="BA132" t="s">
        <v>777</v>
      </c>
      <c r="BB132" t="s">
        <v>558</v>
      </c>
      <c r="BC132" t="s">
        <v>308</v>
      </c>
      <c r="BD132" t="s">
        <v>888</v>
      </c>
      <c r="BH132" t="s">
        <v>560</v>
      </c>
      <c r="BI132" t="s">
        <v>561</v>
      </c>
      <c r="BK132" t="s">
        <v>607</v>
      </c>
      <c r="BL132" t="s">
        <v>562</v>
      </c>
      <c r="BM132" t="s">
        <v>889</v>
      </c>
      <c r="BN132">
        <v>1</v>
      </c>
      <c r="BO132">
        <v>444.43</v>
      </c>
      <c r="BR132" t="s">
        <v>549</v>
      </c>
    </row>
    <row r="133" spans="1:70">
      <c r="A133" t="s">
        <v>882</v>
      </c>
      <c r="B133" t="s">
        <v>307</v>
      </c>
      <c r="C133" t="s">
        <v>883</v>
      </c>
      <c r="D133" t="s">
        <v>884</v>
      </c>
      <c r="E133" t="s">
        <v>309</v>
      </c>
      <c r="F133">
        <v>3</v>
      </c>
      <c r="H133" t="s">
        <v>885</v>
      </c>
      <c r="R133" t="s">
        <v>886</v>
      </c>
      <c r="S133">
        <v>3</v>
      </c>
      <c r="T133" t="s">
        <v>616</v>
      </c>
      <c r="U133" t="s">
        <v>547</v>
      </c>
      <c r="V133">
        <v>1354.5</v>
      </c>
      <c r="W133">
        <v>1505</v>
      </c>
      <c r="Z133" t="s">
        <v>890</v>
      </c>
      <c r="AA133" t="s">
        <v>549</v>
      </c>
      <c r="AB133" t="s">
        <v>748</v>
      </c>
      <c r="AC133" t="s">
        <v>550</v>
      </c>
      <c r="AD133" t="s">
        <v>551</v>
      </c>
      <c r="BR133" t="s">
        <v>549</v>
      </c>
    </row>
    <row r="134" spans="1:70">
      <c r="A134" t="s">
        <v>891</v>
      </c>
      <c r="B134" t="s">
        <v>78</v>
      </c>
      <c r="C134" t="s">
        <v>892</v>
      </c>
      <c r="D134" t="s">
        <v>893</v>
      </c>
      <c r="E134" t="s">
        <v>80</v>
      </c>
      <c r="F134">
        <v>2</v>
      </c>
      <c r="G134" t="s">
        <v>539</v>
      </c>
      <c r="H134" t="s">
        <v>894</v>
      </c>
      <c r="I134" t="s">
        <v>748</v>
      </c>
      <c r="J134" t="s">
        <v>542</v>
      </c>
      <c r="K134">
        <v>37884</v>
      </c>
      <c r="L134">
        <v>0</v>
      </c>
      <c r="M134" t="s">
        <v>570</v>
      </c>
      <c r="N134" t="s">
        <v>544</v>
      </c>
      <c r="O134">
        <v>375.09</v>
      </c>
      <c r="P134">
        <v>37884</v>
      </c>
      <c r="R134" t="s">
        <v>895</v>
      </c>
      <c r="S134">
        <v>6</v>
      </c>
      <c r="T134" t="s">
        <v>628</v>
      </c>
      <c r="U134" t="s">
        <v>547</v>
      </c>
      <c r="V134">
        <v>6314</v>
      </c>
      <c r="W134">
        <v>6314</v>
      </c>
      <c r="Z134" t="s">
        <v>629</v>
      </c>
      <c r="AA134" t="s">
        <v>549</v>
      </c>
      <c r="AB134" t="s">
        <v>748</v>
      </c>
      <c r="AC134" t="s">
        <v>550</v>
      </c>
      <c r="AD134" t="s">
        <v>551</v>
      </c>
      <c r="AE134" t="s">
        <v>896</v>
      </c>
      <c r="AF134" t="s">
        <v>897</v>
      </c>
      <c r="AI134" t="s">
        <v>898</v>
      </c>
      <c r="AJ134" t="s">
        <v>899</v>
      </c>
      <c r="AK134" t="s">
        <v>556</v>
      </c>
      <c r="AM134" t="s">
        <v>900</v>
      </c>
      <c r="AN134" t="s">
        <v>558</v>
      </c>
      <c r="AO134" t="s">
        <v>79</v>
      </c>
      <c r="AP134" t="s">
        <v>549</v>
      </c>
      <c r="AQ134" t="s">
        <v>549</v>
      </c>
      <c r="AR134" t="s">
        <v>549</v>
      </c>
      <c r="AS134" t="s">
        <v>896</v>
      </c>
      <c r="AT134" t="s">
        <v>897</v>
      </c>
      <c r="AW134" t="s">
        <v>898</v>
      </c>
      <c r="AX134" t="s">
        <v>899</v>
      </c>
      <c r="AY134" t="s">
        <v>556</v>
      </c>
      <c r="BA134" t="s">
        <v>900</v>
      </c>
      <c r="BB134" t="s">
        <v>558</v>
      </c>
      <c r="BC134" t="s">
        <v>79</v>
      </c>
      <c r="BD134" t="s">
        <v>549</v>
      </c>
      <c r="BH134" t="s">
        <v>560</v>
      </c>
      <c r="BI134" t="s">
        <v>561</v>
      </c>
      <c r="BK134" t="s">
        <v>607</v>
      </c>
      <c r="BL134" t="s">
        <v>562</v>
      </c>
      <c r="BM134" t="s">
        <v>901</v>
      </c>
      <c r="BN134">
        <v>1</v>
      </c>
      <c r="BO134">
        <v>375.09</v>
      </c>
      <c r="BR134" t="s">
        <v>549</v>
      </c>
    </row>
    <row r="135" spans="1:70">
      <c r="A135" t="s">
        <v>902</v>
      </c>
      <c r="B135" t="s">
        <v>83</v>
      </c>
      <c r="C135" t="s">
        <v>903</v>
      </c>
      <c r="D135" t="s">
        <v>904</v>
      </c>
      <c r="E135" t="s">
        <v>85</v>
      </c>
      <c r="F135">
        <v>5</v>
      </c>
      <c r="G135" t="s">
        <v>539</v>
      </c>
      <c r="H135" t="s">
        <v>905</v>
      </c>
      <c r="I135" t="s">
        <v>748</v>
      </c>
      <c r="J135" t="s">
        <v>542</v>
      </c>
      <c r="K135">
        <v>7336</v>
      </c>
      <c r="L135">
        <v>400</v>
      </c>
      <c r="M135" t="s">
        <v>543</v>
      </c>
      <c r="N135" t="s">
        <v>544</v>
      </c>
      <c r="O135">
        <v>139.30000000000001</v>
      </c>
      <c r="P135">
        <v>7736</v>
      </c>
      <c r="R135" t="s">
        <v>906</v>
      </c>
      <c r="S135">
        <v>2</v>
      </c>
      <c r="T135" t="s">
        <v>907</v>
      </c>
      <c r="U135" t="s">
        <v>547</v>
      </c>
      <c r="V135">
        <v>3668</v>
      </c>
      <c r="W135">
        <v>3668</v>
      </c>
      <c r="Z135" t="s">
        <v>908</v>
      </c>
      <c r="AA135" t="s">
        <v>549</v>
      </c>
      <c r="AB135" t="s">
        <v>748</v>
      </c>
      <c r="AC135" t="s">
        <v>550</v>
      </c>
      <c r="AD135" t="s">
        <v>551</v>
      </c>
      <c r="AE135" t="s">
        <v>909</v>
      </c>
      <c r="AF135" t="s">
        <v>910</v>
      </c>
      <c r="AH135" t="s">
        <v>911</v>
      </c>
      <c r="AI135" t="s">
        <v>688</v>
      </c>
      <c r="AJ135" t="s">
        <v>912</v>
      </c>
      <c r="AK135" t="s">
        <v>556</v>
      </c>
      <c r="AM135" t="s">
        <v>690</v>
      </c>
      <c r="AN135" t="s">
        <v>558</v>
      </c>
      <c r="AO135" t="s">
        <v>84</v>
      </c>
      <c r="AP135" t="s">
        <v>913</v>
      </c>
      <c r="AQ135" t="s">
        <v>688</v>
      </c>
      <c r="AR135" t="s">
        <v>914</v>
      </c>
      <c r="AS135" t="s">
        <v>909</v>
      </c>
      <c r="AT135" t="s">
        <v>910</v>
      </c>
      <c r="AV135" t="s">
        <v>911</v>
      </c>
      <c r="AW135" t="s">
        <v>688</v>
      </c>
      <c r="AX135" t="s">
        <v>912</v>
      </c>
      <c r="AY135" t="s">
        <v>556</v>
      </c>
      <c r="BA135" t="s">
        <v>690</v>
      </c>
      <c r="BB135" t="s">
        <v>558</v>
      </c>
      <c r="BC135" t="s">
        <v>84</v>
      </c>
      <c r="BD135" t="s">
        <v>914</v>
      </c>
      <c r="BH135" t="s">
        <v>560</v>
      </c>
      <c r="BI135" t="s">
        <v>561</v>
      </c>
      <c r="BK135" t="s">
        <v>607</v>
      </c>
      <c r="BL135" t="s">
        <v>562</v>
      </c>
      <c r="BM135" t="s">
        <v>915</v>
      </c>
      <c r="BN135">
        <v>1</v>
      </c>
      <c r="BO135">
        <v>72.63</v>
      </c>
      <c r="BP135">
        <v>20</v>
      </c>
      <c r="BQ135">
        <v>66.67</v>
      </c>
      <c r="BR135" t="s">
        <v>549</v>
      </c>
    </row>
    <row r="136" spans="1:70">
      <c r="A136" t="s">
        <v>916</v>
      </c>
      <c r="B136" t="s">
        <v>81</v>
      </c>
      <c r="C136" t="s">
        <v>917</v>
      </c>
      <c r="D136" t="s">
        <v>918</v>
      </c>
      <c r="E136" t="s">
        <v>82</v>
      </c>
      <c r="F136">
        <v>1</v>
      </c>
      <c r="G136" t="s">
        <v>539</v>
      </c>
      <c r="H136" t="s">
        <v>919</v>
      </c>
      <c r="I136" t="s">
        <v>748</v>
      </c>
      <c r="J136" t="s">
        <v>542</v>
      </c>
      <c r="K136">
        <v>22988</v>
      </c>
      <c r="L136">
        <v>0</v>
      </c>
      <c r="M136" t="s">
        <v>570</v>
      </c>
      <c r="N136" t="s">
        <v>544</v>
      </c>
      <c r="O136">
        <v>227.6</v>
      </c>
      <c r="P136">
        <v>22988</v>
      </c>
      <c r="R136" t="s">
        <v>920</v>
      </c>
      <c r="S136">
        <v>3</v>
      </c>
      <c r="T136" t="s">
        <v>921</v>
      </c>
      <c r="U136" t="s">
        <v>547</v>
      </c>
      <c r="V136">
        <v>1890</v>
      </c>
      <c r="W136">
        <v>1890</v>
      </c>
      <c r="Z136" t="s">
        <v>922</v>
      </c>
      <c r="AA136" t="s">
        <v>549</v>
      </c>
      <c r="AB136" t="s">
        <v>748</v>
      </c>
      <c r="AC136" t="s">
        <v>550</v>
      </c>
      <c r="AD136" t="s">
        <v>551</v>
      </c>
      <c r="AE136" t="s">
        <v>81</v>
      </c>
      <c r="AF136" t="s">
        <v>923</v>
      </c>
      <c r="AG136" t="s">
        <v>924</v>
      </c>
      <c r="AH136" t="s">
        <v>925</v>
      </c>
      <c r="AI136" t="s">
        <v>577</v>
      </c>
      <c r="AJ136" t="s">
        <v>926</v>
      </c>
      <c r="AK136" t="s">
        <v>556</v>
      </c>
      <c r="AM136" t="s">
        <v>927</v>
      </c>
      <c r="AN136" t="s">
        <v>558</v>
      </c>
      <c r="AO136" t="s">
        <v>928</v>
      </c>
      <c r="AP136" t="s">
        <v>929</v>
      </c>
      <c r="AQ136" t="s">
        <v>930</v>
      </c>
      <c r="AR136" t="s">
        <v>931</v>
      </c>
      <c r="AS136" t="s">
        <v>81</v>
      </c>
      <c r="AT136" t="s">
        <v>923</v>
      </c>
      <c r="AU136" t="s">
        <v>924</v>
      </c>
      <c r="AV136" t="s">
        <v>925</v>
      </c>
      <c r="AW136" t="s">
        <v>577</v>
      </c>
      <c r="AX136" t="s">
        <v>926</v>
      </c>
      <c r="AY136" t="s">
        <v>556</v>
      </c>
      <c r="BA136" t="s">
        <v>927</v>
      </c>
      <c r="BB136" t="s">
        <v>558</v>
      </c>
      <c r="BC136" t="s">
        <v>928</v>
      </c>
      <c r="BD136" t="s">
        <v>931</v>
      </c>
      <c r="BH136" t="s">
        <v>560</v>
      </c>
      <c r="BI136" t="s">
        <v>561</v>
      </c>
      <c r="BK136" t="s">
        <v>607</v>
      </c>
      <c r="BL136" t="s">
        <v>562</v>
      </c>
      <c r="BM136" t="s">
        <v>932</v>
      </c>
      <c r="BN136">
        <v>1</v>
      </c>
      <c r="BO136">
        <v>227.6</v>
      </c>
      <c r="BR136" t="s">
        <v>549</v>
      </c>
    </row>
    <row r="137" spans="1:70">
      <c r="A137" t="s">
        <v>916</v>
      </c>
      <c r="B137" t="s">
        <v>81</v>
      </c>
      <c r="C137" t="s">
        <v>917</v>
      </c>
      <c r="D137" t="s">
        <v>918</v>
      </c>
      <c r="E137" t="s">
        <v>82</v>
      </c>
      <c r="F137">
        <v>1</v>
      </c>
      <c r="H137" t="s">
        <v>919</v>
      </c>
      <c r="R137" t="s">
        <v>920</v>
      </c>
      <c r="S137">
        <v>4</v>
      </c>
      <c r="T137" t="s">
        <v>907</v>
      </c>
      <c r="U137" t="s">
        <v>547</v>
      </c>
      <c r="V137">
        <v>3668</v>
      </c>
      <c r="W137">
        <v>3668</v>
      </c>
      <c r="Z137" t="s">
        <v>908</v>
      </c>
      <c r="AA137" t="s">
        <v>549</v>
      </c>
      <c r="AB137" t="s">
        <v>748</v>
      </c>
      <c r="AC137" t="s">
        <v>550</v>
      </c>
      <c r="AD137" t="s">
        <v>551</v>
      </c>
      <c r="BR137" t="s">
        <v>549</v>
      </c>
    </row>
    <row r="138" spans="1:70">
      <c r="A138" t="s">
        <v>916</v>
      </c>
      <c r="B138" t="s">
        <v>81</v>
      </c>
      <c r="C138" t="s">
        <v>917</v>
      </c>
      <c r="D138" t="s">
        <v>918</v>
      </c>
      <c r="E138" t="s">
        <v>82</v>
      </c>
      <c r="F138">
        <v>1</v>
      </c>
      <c r="H138" t="s">
        <v>919</v>
      </c>
      <c r="R138" t="s">
        <v>920</v>
      </c>
      <c r="S138">
        <v>1</v>
      </c>
      <c r="T138" t="s">
        <v>933</v>
      </c>
      <c r="U138" t="s">
        <v>547</v>
      </c>
      <c r="V138">
        <v>2646</v>
      </c>
      <c r="W138">
        <v>2646</v>
      </c>
      <c r="Z138" t="s">
        <v>934</v>
      </c>
      <c r="AA138" t="s">
        <v>549</v>
      </c>
      <c r="AB138" t="s">
        <v>748</v>
      </c>
      <c r="AC138" t="s">
        <v>550</v>
      </c>
      <c r="AD138" t="s">
        <v>551</v>
      </c>
      <c r="BR138" t="s">
        <v>549</v>
      </c>
    </row>
    <row r="139" spans="1:70">
      <c r="A139" t="s">
        <v>935</v>
      </c>
      <c r="B139" t="s">
        <v>95</v>
      </c>
      <c r="C139" t="s">
        <v>936</v>
      </c>
      <c r="D139" t="s">
        <v>937</v>
      </c>
      <c r="E139" t="s">
        <v>97</v>
      </c>
      <c r="F139">
        <v>3</v>
      </c>
      <c r="G139" t="s">
        <v>539</v>
      </c>
      <c r="H139" t="s">
        <v>938</v>
      </c>
      <c r="I139" t="s">
        <v>748</v>
      </c>
      <c r="J139" t="s">
        <v>542</v>
      </c>
      <c r="K139">
        <v>21946.400000000001</v>
      </c>
      <c r="L139">
        <v>0</v>
      </c>
      <c r="M139" t="s">
        <v>570</v>
      </c>
      <c r="N139" t="s">
        <v>544</v>
      </c>
      <c r="O139">
        <v>217.29</v>
      </c>
      <c r="P139">
        <v>21946.400000000001</v>
      </c>
      <c r="R139" t="s">
        <v>939</v>
      </c>
      <c r="S139">
        <v>10</v>
      </c>
      <c r="T139" t="s">
        <v>818</v>
      </c>
      <c r="U139" t="s">
        <v>547</v>
      </c>
      <c r="V139">
        <v>806.4</v>
      </c>
      <c r="W139">
        <v>806.4</v>
      </c>
      <c r="Z139" t="s">
        <v>819</v>
      </c>
      <c r="AA139" t="s">
        <v>549</v>
      </c>
      <c r="AB139" t="s">
        <v>748</v>
      </c>
      <c r="AC139" t="s">
        <v>550</v>
      </c>
      <c r="AD139" t="s">
        <v>551</v>
      </c>
      <c r="AE139" t="s">
        <v>95</v>
      </c>
      <c r="AF139" t="s">
        <v>940</v>
      </c>
      <c r="AH139" t="s">
        <v>941</v>
      </c>
      <c r="AI139" t="s">
        <v>670</v>
      </c>
      <c r="AJ139" t="s">
        <v>942</v>
      </c>
      <c r="AK139" t="s">
        <v>556</v>
      </c>
      <c r="AM139" t="s">
        <v>672</v>
      </c>
      <c r="AN139" t="s">
        <v>558</v>
      </c>
      <c r="AO139" t="s">
        <v>96</v>
      </c>
      <c r="AP139" t="s">
        <v>943</v>
      </c>
      <c r="AQ139" t="s">
        <v>944</v>
      </c>
      <c r="AR139" t="s">
        <v>549</v>
      </c>
      <c r="AS139" t="s">
        <v>95</v>
      </c>
      <c r="AT139" t="s">
        <v>940</v>
      </c>
      <c r="AV139" t="s">
        <v>941</v>
      </c>
      <c r="AW139" t="s">
        <v>670</v>
      </c>
      <c r="AX139" t="s">
        <v>942</v>
      </c>
      <c r="AY139" t="s">
        <v>556</v>
      </c>
      <c r="BA139" t="s">
        <v>672</v>
      </c>
      <c r="BB139" t="s">
        <v>558</v>
      </c>
      <c r="BC139" t="s">
        <v>96</v>
      </c>
      <c r="BD139" t="s">
        <v>549</v>
      </c>
      <c r="BH139" t="s">
        <v>560</v>
      </c>
      <c r="BI139" t="s">
        <v>561</v>
      </c>
      <c r="BK139" t="s">
        <v>607</v>
      </c>
      <c r="BL139" t="s">
        <v>562</v>
      </c>
      <c r="BM139" t="s">
        <v>945</v>
      </c>
      <c r="BN139">
        <v>1</v>
      </c>
      <c r="BO139">
        <v>217.29</v>
      </c>
      <c r="BR139" t="s">
        <v>549</v>
      </c>
    </row>
    <row r="140" spans="1:70">
      <c r="A140" t="s">
        <v>935</v>
      </c>
      <c r="B140" t="s">
        <v>95</v>
      </c>
      <c r="C140" t="s">
        <v>936</v>
      </c>
      <c r="D140" t="s">
        <v>937</v>
      </c>
      <c r="E140" t="s">
        <v>97</v>
      </c>
      <c r="F140">
        <v>3</v>
      </c>
      <c r="H140" t="s">
        <v>938</v>
      </c>
      <c r="R140" t="s">
        <v>939</v>
      </c>
      <c r="S140">
        <v>4</v>
      </c>
      <c r="T140" t="s">
        <v>946</v>
      </c>
      <c r="U140" t="s">
        <v>547</v>
      </c>
      <c r="V140">
        <v>702.8</v>
      </c>
      <c r="W140">
        <v>702.8</v>
      </c>
      <c r="Z140" t="s">
        <v>947</v>
      </c>
      <c r="AA140" t="s">
        <v>549</v>
      </c>
      <c r="AB140" t="s">
        <v>748</v>
      </c>
      <c r="AC140" t="s">
        <v>550</v>
      </c>
      <c r="AD140" t="s">
        <v>551</v>
      </c>
      <c r="BR140" t="s">
        <v>549</v>
      </c>
    </row>
    <row r="141" spans="1:70">
      <c r="A141" t="s">
        <v>935</v>
      </c>
      <c r="B141" t="s">
        <v>95</v>
      </c>
      <c r="C141" t="s">
        <v>936</v>
      </c>
      <c r="D141" t="s">
        <v>937</v>
      </c>
      <c r="E141" t="s">
        <v>97</v>
      </c>
      <c r="F141">
        <v>3</v>
      </c>
      <c r="H141" t="s">
        <v>938</v>
      </c>
      <c r="R141" t="s">
        <v>939</v>
      </c>
      <c r="S141">
        <v>1</v>
      </c>
      <c r="T141" t="s">
        <v>584</v>
      </c>
      <c r="U141" t="s">
        <v>547</v>
      </c>
      <c r="V141">
        <v>3040.8</v>
      </c>
      <c r="W141">
        <v>3040.8</v>
      </c>
      <c r="Z141" t="s">
        <v>585</v>
      </c>
      <c r="AA141" t="s">
        <v>549</v>
      </c>
      <c r="AB141" t="s">
        <v>748</v>
      </c>
      <c r="AC141" t="s">
        <v>550</v>
      </c>
      <c r="AD141" t="s">
        <v>551</v>
      </c>
      <c r="BR141" t="s">
        <v>549</v>
      </c>
    </row>
    <row r="142" spans="1:70">
      <c r="A142" t="s">
        <v>935</v>
      </c>
      <c r="B142" t="s">
        <v>95</v>
      </c>
      <c r="C142" t="s">
        <v>936</v>
      </c>
      <c r="D142" t="s">
        <v>937</v>
      </c>
      <c r="E142" t="s">
        <v>97</v>
      </c>
      <c r="F142">
        <v>3</v>
      </c>
      <c r="H142" t="s">
        <v>938</v>
      </c>
      <c r="R142" t="s">
        <v>939</v>
      </c>
      <c r="S142">
        <v>2</v>
      </c>
      <c r="T142" t="s">
        <v>742</v>
      </c>
      <c r="U142" t="s">
        <v>547</v>
      </c>
      <c r="V142">
        <v>4015.2</v>
      </c>
      <c r="W142">
        <v>4015.2</v>
      </c>
      <c r="Z142" t="s">
        <v>743</v>
      </c>
      <c r="AA142" t="s">
        <v>549</v>
      </c>
      <c r="AB142" t="s">
        <v>748</v>
      </c>
      <c r="AC142" t="s">
        <v>550</v>
      </c>
      <c r="AD142" t="s">
        <v>551</v>
      </c>
      <c r="BR142" t="s">
        <v>549</v>
      </c>
    </row>
    <row r="143" spans="1:70">
      <c r="A143" t="s">
        <v>948</v>
      </c>
      <c r="B143" t="s">
        <v>91</v>
      </c>
      <c r="C143" t="s">
        <v>949</v>
      </c>
      <c r="D143" t="s">
        <v>950</v>
      </c>
      <c r="E143" t="s">
        <v>93</v>
      </c>
      <c r="F143">
        <v>2</v>
      </c>
      <c r="G143" t="s">
        <v>539</v>
      </c>
      <c r="H143" t="s">
        <v>951</v>
      </c>
      <c r="I143" t="s">
        <v>748</v>
      </c>
      <c r="J143" t="s">
        <v>542</v>
      </c>
      <c r="K143">
        <v>55580</v>
      </c>
      <c r="L143">
        <v>0</v>
      </c>
      <c r="M143" t="s">
        <v>570</v>
      </c>
      <c r="N143" t="s">
        <v>544</v>
      </c>
      <c r="O143">
        <v>535.45000000000005</v>
      </c>
      <c r="P143">
        <v>54080</v>
      </c>
      <c r="Q143">
        <v>1500</v>
      </c>
      <c r="R143" t="s">
        <v>952</v>
      </c>
      <c r="S143">
        <v>20</v>
      </c>
      <c r="T143" t="s">
        <v>953</v>
      </c>
      <c r="U143" t="s">
        <v>547</v>
      </c>
      <c r="V143">
        <v>2704</v>
      </c>
      <c r="W143">
        <v>2779</v>
      </c>
      <c r="Z143" t="s">
        <v>954</v>
      </c>
      <c r="AA143" t="s">
        <v>549</v>
      </c>
      <c r="AB143" t="s">
        <v>748</v>
      </c>
      <c r="AC143" t="s">
        <v>550</v>
      </c>
      <c r="AD143" t="s">
        <v>551</v>
      </c>
      <c r="AE143" t="s">
        <v>91</v>
      </c>
      <c r="AF143" t="s">
        <v>955</v>
      </c>
      <c r="AI143" t="s">
        <v>670</v>
      </c>
      <c r="AJ143" t="s">
        <v>956</v>
      </c>
      <c r="AK143" t="s">
        <v>556</v>
      </c>
      <c r="AM143" t="s">
        <v>957</v>
      </c>
      <c r="AN143" t="s">
        <v>558</v>
      </c>
      <c r="AO143" t="s">
        <v>92</v>
      </c>
      <c r="AP143" t="s">
        <v>549</v>
      </c>
      <c r="AQ143" t="s">
        <v>549</v>
      </c>
      <c r="AR143" t="s">
        <v>958</v>
      </c>
      <c r="AS143" t="s">
        <v>91</v>
      </c>
      <c r="AT143" t="s">
        <v>955</v>
      </c>
      <c r="AW143" t="s">
        <v>670</v>
      </c>
      <c r="AX143" t="s">
        <v>956</v>
      </c>
      <c r="AY143" t="s">
        <v>556</v>
      </c>
      <c r="BA143" t="s">
        <v>957</v>
      </c>
      <c r="BB143" t="s">
        <v>558</v>
      </c>
      <c r="BC143" t="s">
        <v>92</v>
      </c>
      <c r="BD143" t="s">
        <v>958</v>
      </c>
      <c r="BH143" t="s">
        <v>560</v>
      </c>
      <c r="BI143" t="s">
        <v>561</v>
      </c>
      <c r="BK143" t="s">
        <v>607</v>
      </c>
      <c r="BL143" t="s">
        <v>562</v>
      </c>
      <c r="BM143" t="s">
        <v>959</v>
      </c>
      <c r="BN143">
        <v>1</v>
      </c>
      <c r="BO143">
        <v>535.45000000000005</v>
      </c>
      <c r="BR143" t="s">
        <v>549</v>
      </c>
    </row>
    <row r="144" spans="1:70">
      <c r="A144" t="s">
        <v>960</v>
      </c>
      <c r="B144" t="s">
        <v>376</v>
      </c>
      <c r="C144" t="s">
        <v>961</v>
      </c>
      <c r="D144" t="s">
        <v>962</v>
      </c>
      <c r="E144" t="s">
        <v>377</v>
      </c>
      <c r="F144">
        <v>1</v>
      </c>
      <c r="G144" t="s">
        <v>539</v>
      </c>
      <c r="H144" t="s">
        <v>963</v>
      </c>
      <c r="I144" t="s">
        <v>748</v>
      </c>
      <c r="J144" t="s">
        <v>542</v>
      </c>
      <c r="K144">
        <v>20815.2</v>
      </c>
      <c r="L144">
        <v>0</v>
      </c>
      <c r="M144" t="s">
        <v>570</v>
      </c>
      <c r="N144" t="s">
        <v>544</v>
      </c>
      <c r="O144">
        <v>206.09</v>
      </c>
      <c r="P144">
        <v>20815.2</v>
      </c>
      <c r="R144" t="s">
        <v>964</v>
      </c>
      <c r="S144">
        <v>7</v>
      </c>
      <c r="T144" t="s">
        <v>837</v>
      </c>
      <c r="U144" t="s">
        <v>547</v>
      </c>
      <c r="V144">
        <v>1680</v>
      </c>
      <c r="W144">
        <v>1680</v>
      </c>
      <c r="Z144" t="s">
        <v>838</v>
      </c>
      <c r="AA144" t="s">
        <v>549</v>
      </c>
      <c r="AB144" t="s">
        <v>748</v>
      </c>
      <c r="AC144" t="s">
        <v>550</v>
      </c>
      <c r="AD144" t="s">
        <v>551</v>
      </c>
      <c r="AE144" t="s">
        <v>376</v>
      </c>
      <c r="AF144" t="s">
        <v>965</v>
      </c>
      <c r="AI144" t="s">
        <v>966</v>
      </c>
      <c r="AJ144" t="s">
        <v>967</v>
      </c>
      <c r="AK144" t="s">
        <v>556</v>
      </c>
      <c r="AM144" t="s">
        <v>968</v>
      </c>
      <c r="AN144" t="s">
        <v>558</v>
      </c>
      <c r="AO144" t="s">
        <v>342</v>
      </c>
      <c r="AP144" t="s">
        <v>549</v>
      </c>
      <c r="AQ144" t="s">
        <v>549</v>
      </c>
      <c r="AR144" t="s">
        <v>969</v>
      </c>
      <c r="AS144" t="s">
        <v>376</v>
      </c>
      <c r="AT144" t="s">
        <v>965</v>
      </c>
      <c r="AW144" t="s">
        <v>966</v>
      </c>
      <c r="AX144" t="s">
        <v>967</v>
      </c>
      <c r="AY144" t="s">
        <v>556</v>
      </c>
      <c r="BA144" t="s">
        <v>968</v>
      </c>
      <c r="BB144" t="s">
        <v>558</v>
      </c>
      <c r="BC144" t="s">
        <v>342</v>
      </c>
      <c r="BD144" t="s">
        <v>969</v>
      </c>
      <c r="BH144" t="s">
        <v>560</v>
      </c>
      <c r="BI144" t="s">
        <v>561</v>
      </c>
      <c r="BK144" t="s">
        <v>607</v>
      </c>
      <c r="BL144" t="s">
        <v>562</v>
      </c>
      <c r="BM144" t="s">
        <v>970</v>
      </c>
      <c r="BN144">
        <v>1</v>
      </c>
      <c r="BO144">
        <v>206.09</v>
      </c>
      <c r="BR144" t="s">
        <v>549</v>
      </c>
    </row>
    <row r="145" spans="1:70">
      <c r="A145" t="s">
        <v>960</v>
      </c>
      <c r="B145" t="s">
        <v>376</v>
      </c>
      <c r="C145" t="s">
        <v>961</v>
      </c>
      <c r="D145" t="s">
        <v>962</v>
      </c>
      <c r="E145" t="s">
        <v>377</v>
      </c>
      <c r="F145">
        <v>1</v>
      </c>
      <c r="H145" t="s">
        <v>963</v>
      </c>
      <c r="R145" t="s">
        <v>964</v>
      </c>
      <c r="S145">
        <v>6</v>
      </c>
      <c r="T145" t="s">
        <v>818</v>
      </c>
      <c r="U145" t="s">
        <v>547</v>
      </c>
      <c r="V145">
        <v>806.4</v>
      </c>
      <c r="W145">
        <v>806.4</v>
      </c>
      <c r="Z145" t="s">
        <v>819</v>
      </c>
      <c r="AA145" t="s">
        <v>549</v>
      </c>
      <c r="AB145" t="s">
        <v>748</v>
      </c>
      <c r="AC145" t="s">
        <v>550</v>
      </c>
      <c r="AD145" t="s">
        <v>551</v>
      </c>
      <c r="BR145" t="s">
        <v>549</v>
      </c>
    </row>
    <row r="146" spans="1:70">
      <c r="A146" t="s">
        <v>960</v>
      </c>
      <c r="B146" t="s">
        <v>376</v>
      </c>
      <c r="C146" t="s">
        <v>961</v>
      </c>
      <c r="D146" t="s">
        <v>962</v>
      </c>
      <c r="E146" t="s">
        <v>377</v>
      </c>
      <c r="F146">
        <v>1</v>
      </c>
      <c r="H146" t="s">
        <v>963</v>
      </c>
      <c r="R146" t="s">
        <v>964</v>
      </c>
      <c r="S146">
        <v>6</v>
      </c>
      <c r="T146" t="s">
        <v>946</v>
      </c>
      <c r="U146" t="s">
        <v>547</v>
      </c>
      <c r="V146">
        <v>702.8</v>
      </c>
      <c r="W146">
        <v>702.8</v>
      </c>
      <c r="Z146" t="s">
        <v>947</v>
      </c>
      <c r="AA146" t="s">
        <v>549</v>
      </c>
      <c r="AB146" t="s">
        <v>748</v>
      </c>
      <c r="AC146" t="s">
        <v>550</v>
      </c>
      <c r="AD146" t="s">
        <v>551</v>
      </c>
      <c r="BR146" t="s">
        <v>549</v>
      </c>
    </row>
    <row r="147" spans="1:70">
      <c r="A147" t="s">
        <v>971</v>
      </c>
      <c r="B147" t="s">
        <v>88</v>
      </c>
      <c r="C147" t="s">
        <v>972</v>
      </c>
      <c r="D147" t="s">
        <v>973</v>
      </c>
      <c r="E147" t="s">
        <v>90</v>
      </c>
      <c r="F147">
        <v>2</v>
      </c>
      <c r="G147" t="s">
        <v>539</v>
      </c>
      <c r="H147" t="s">
        <v>974</v>
      </c>
      <c r="I147" t="s">
        <v>748</v>
      </c>
      <c r="J147" t="s">
        <v>542</v>
      </c>
      <c r="K147">
        <v>2671.2</v>
      </c>
      <c r="L147">
        <v>400</v>
      </c>
      <c r="M147" t="s">
        <v>543</v>
      </c>
      <c r="N147" t="s">
        <v>544</v>
      </c>
      <c r="O147">
        <v>93.12</v>
      </c>
      <c r="P147">
        <v>3071.2</v>
      </c>
      <c r="R147" t="s">
        <v>975</v>
      </c>
      <c r="S147">
        <v>2</v>
      </c>
      <c r="T147" t="s">
        <v>976</v>
      </c>
      <c r="U147" t="s">
        <v>547</v>
      </c>
      <c r="V147">
        <v>1335.6</v>
      </c>
      <c r="W147">
        <v>1335.6</v>
      </c>
      <c r="Z147" t="s">
        <v>977</v>
      </c>
      <c r="AA147" t="s">
        <v>549</v>
      </c>
      <c r="AB147" t="s">
        <v>748</v>
      </c>
      <c r="AC147" t="s">
        <v>550</v>
      </c>
      <c r="AD147" t="s">
        <v>551</v>
      </c>
      <c r="AE147" t="s">
        <v>88</v>
      </c>
      <c r="AF147" t="s">
        <v>978</v>
      </c>
      <c r="AI147" t="s">
        <v>688</v>
      </c>
      <c r="AJ147" t="s">
        <v>689</v>
      </c>
      <c r="AK147" t="s">
        <v>556</v>
      </c>
      <c r="AM147" t="s">
        <v>690</v>
      </c>
      <c r="AN147" t="s">
        <v>558</v>
      </c>
      <c r="AO147" t="s">
        <v>89</v>
      </c>
      <c r="AP147" t="s">
        <v>549</v>
      </c>
      <c r="AQ147" t="s">
        <v>549</v>
      </c>
      <c r="AR147" t="s">
        <v>549</v>
      </c>
      <c r="AS147" t="s">
        <v>88</v>
      </c>
      <c r="AT147" t="s">
        <v>978</v>
      </c>
      <c r="AW147" t="s">
        <v>688</v>
      </c>
      <c r="AX147" t="s">
        <v>689</v>
      </c>
      <c r="AY147" t="s">
        <v>556</v>
      </c>
      <c r="BA147" t="s">
        <v>690</v>
      </c>
      <c r="BB147" t="s">
        <v>558</v>
      </c>
      <c r="BC147" t="s">
        <v>89</v>
      </c>
      <c r="BD147" t="s">
        <v>549</v>
      </c>
      <c r="BH147" t="s">
        <v>560</v>
      </c>
      <c r="BI147" t="s">
        <v>561</v>
      </c>
      <c r="BK147" t="s">
        <v>607</v>
      </c>
      <c r="BL147" t="s">
        <v>562</v>
      </c>
      <c r="BM147" t="s">
        <v>979</v>
      </c>
      <c r="BN147">
        <v>1</v>
      </c>
      <c r="BO147">
        <v>26.45</v>
      </c>
      <c r="BP147">
        <v>20</v>
      </c>
      <c r="BQ147">
        <v>66.67</v>
      </c>
      <c r="BR147" t="s">
        <v>549</v>
      </c>
    </row>
    <row r="148" spans="1:70">
      <c r="A148" t="s">
        <v>980</v>
      </c>
      <c r="B148" t="s">
        <v>378</v>
      </c>
      <c r="C148" t="s">
        <v>981</v>
      </c>
      <c r="D148" t="s">
        <v>982</v>
      </c>
      <c r="E148" t="s">
        <v>379</v>
      </c>
      <c r="F148">
        <v>1</v>
      </c>
      <c r="G148" t="s">
        <v>539</v>
      </c>
      <c r="H148" t="s">
        <v>983</v>
      </c>
      <c r="I148" t="s">
        <v>748</v>
      </c>
      <c r="J148" t="s">
        <v>542</v>
      </c>
      <c r="K148">
        <v>9072</v>
      </c>
      <c r="L148">
        <v>400</v>
      </c>
      <c r="M148" t="s">
        <v>543</v>
      </c>
      <c r="N148" t="s">
        <v>544</v>
      </c>
      <c r="O148">
        <v>156.49</v>
      </c>
      <c r="P148">
        <v>9472</v>
      </c>
      <c r="R148" t="s">
        <v>984</v>
      </c>
      <c r="S148">
        <v>3</v>
      </c>
      <c r="T148" t="s">
        <v>704</v>
      </c>
      <c r="U148" t="s">
        <v>547</v>
      </c>
      <c r="V148">
        <v>3024</v>
      </c>
      <c r="W148">
        <v>3024</v>
      </c>
      <c r="Z148" t="s">
        <v>705</v>
      </c>
      <c r="AA148" t="s">
        <v>549</v>
      </c>
      <c r="AB148" t="s">
        <v>748</v>
      </c>
      <c r="AC148" t="s">
        <v>550</v>
      </c>
      <c r="AD148" t="s">
        <v>551</v>
      </c>
      <c r="AE148" t="s">
        <v>378</v>
      </c>
      <c r="AF148" t="s">
        <v>985</v>
      </c>
      <c r="AI148" t="s">
        <v>670</v>
      </c>
      <c r="AJ148" t="s">
        <v>986</v>
      </c>
      <c r="AK148" t="s">
        <v>556</v>
      </c>
      <c r="AM148" t="s">
        <v>987</v>
      </c>
      <c r="AN148" t="s">
        <v>558</v>
      </c>
      <c r="AO148" t="s">
        <v>988</v>
      </c>
      <c r="AP148" t="s">
        <v>549</v>
      </c>
      <c r="AQ148" t="s">
        <v>549</v>
      </c>
      <c r="AR148" t="s">
        <v>989</v>
      </c>
      <c r="AS148" t="s">
        <v>378</v>
      </c>
      <c r="AT148" t="s">
        <v>985</v>
      </c>
      <c r="AW148" t="s">
        <v>670</v>
      </c>
      <c r="AX148" t="s">
        <v>986</v>
      </c>
      <c r="AY148" t="s">
        <v>556</v>
      </c>
      <c r="BA148" t="s">
        <v>987</v>
      </c>
      <c r="BB148" t="s">
        <v>558</v>
      </c>
      <c r="BC148" t="s">
        <v>988</v>
      </c>
      <c r="BD148" t="s">
        <v>989</v>
      </c>
      <c r="BH148" t="s">
        <v>560</v>
      </c>
      <c r="BI148" t="s">
        <v>561</v>
      </c>
      <c r="BK148" t="s">
        <v>607</v>
      </c>
      <c r="BL148" t="s">
        <v>562</v>
      </c>
      <c r="BM148" t="s">
        <v>990</v>
      </c>
      <c r="BN148">
        <v>1</v>
      </c>
      <c r="BO148">
        <v>89.82</v>
      </c>
      <c r="BP148">
        <v>20</v>
      </c>
      <c r="BQ148">
        <v>66.67</v>
      </c>
      <c r="BR148" t="s">
        <v>549</v>
      </c>
    </row>
    <row r="149" spans="1:70">
      <c r="A149" t="s">
        <v>991</v>
      </c>
      <c r="B149" t="s">
        <v>108</v>
      </c>
      <c r="C149" t="s">
        <v>992</v>
      </c>
      <c r="D149" t="s">
        <v>993</v>
      </c>
      <c r="E149" t="s">
        <v>110</v>
      </c>
      <c r="F149">
        <v>6</v>
      </c>
      <c r="G149" t="s">
        <v>539</v>
      </c>
      <c r="H149" t="s">
        <v>994</v>
      </c>
      <c r="I149" t="s">
        <v>748</v>
      </c>
      <c r="J149" t="s">
        <v>542</v>
      </c>
      <c r="K149">
        <v>21285.599999999999</v>
      </c>
      <c r="L149">
        <v>0</v>
      </c>
      <c r="M149" t="s">
        <v>570</v>
      </c>
      <c r="N149" t="s">
        <v>544</v>
      </c>
      <c r="O149">
        <v>210.75</v>
      </c>
      <c r="P149">
        <v>21285.599999999999</v>
      </c>
      <c r="R149" t="s">
        <v>995</v>
      </c>
      <c r="S149">
        <v>7</v>
      </c>
      <c r="T149" t="s">
        <v>584</v>
      </c>
      <c r="U149" t="s">
        <v>547</v>
      </c>
      <c r="V149">
        <v>3040.8</v>
      </c>
      <c r="W149">
        <v>3040.8</v>
      </c>
      <c r="Z149" t="s">
        <v>585</v>
      </c>
      <c r="AA149" t="s">
        <v>549</v>
      </c>
      <c r="AB149" t="s">
        <v>748</v>
      </c>
      <c r="AC149" t="s">
        <v>550</v>
      </c>
      <c r="AD149" t="s">
        <v>551</v>
      </c>
      <c r="AE149" t="s">
        <v>996</v>
      </c>
      <c r="AF149" t="s">
        <v>997</v>
      </c>
      <c r="AH149" t="s">
        <v>998</v>
      </c>
      <c r="AI149" t="s">
        <v>554</v>
      </c>
      <c r="AJ149" t="s">
        <v>999</v>
      </c>
      <c r="AK149" t="s">
        <v>556</v>
      </c>
      <c r="AM149" t="s">
        <v>1000</v>
      </c>
      <c r="AN149" t="s">
        <v>558</v>
      </c>
      <c r="AO149" t="s">
        <v>109</v>
      </c>
      <c r="AP149" t="s">
        <v>1001</v>
      </c>
      <c r="AQ149" t="s">
        <v>1002</v>
      </c>
      <c r="AR149" t="s">
        <v>1001</v>
      </c>
      <c r="AS149" t="s">
        <v>996</v>
      </c>
      <c r="AT149" t="s">
        <v>997</v>
      </c>
      <c r="AV149" t="s">
        <v>998</v>
      </c>
      <c r="AW149" t="s">
        <v>554</v>
      </c>
      <c r="AX149" t="s">
        <v>999</v>
      </c>
      <c r="AY149" t="s">
        <v>556</v>
      </c>
      <c r="BA149" t="s">
        <v>1000</v>
      </c>
      <c r="BB149" t="s">
        <v>558</v>
      </c>
      <c r="BC149" t="s">
        <v>109</v>
      </c>
      <c r="BD149" t="s">
        <v>1001</v>
      </c>
      <c r="BH149" t="s">
        <v>560</v>
      </c>
      <c r="BI149" t="s">
        <v>561</v>
      </c>
      <c r="BK149" t="s">
        <v>607</v>
      </c>
      <c r="BL149" t="s">
        <v>562</v>
      </c>
      <c r="BM149" t="s">
        <v>1003</v>
      </c>
      <c r="BN149">
        <v>1</v>
      </c>
      <c r="BO149">
        <v>210.75</v>
      </c>
      <c r="BR149" t="s">
        <v>549</v>
      </c>
    </row>
    <row r="150" spans="1:70">
      <c r="A150" t="s">
        <v>1004</v>
      </c>
      <c r="B150" t="s">
        <v>106</v>
      </c>
      <c r="C150" t="s">
        <v>1005</v>
      </c>
      <c r="D150" t="s">
        <v>1006</v>
      </c>
      <c r="E150" t="s">
        <v>107</v>
      </c>
      <c r="F150">
        <v>2</v>
      </c>
      <c r="G150" t="s">
        <v>539</v>
      </c>
      <c r="H150" t="s">
        <v>1007</v>
      </c>
      <c r="I150" t="s">
        <v>748</v>
      </c>
      <c r="J150" t="s">
        <v>542</v>
      </c>
      <c r="K150">
        <v>5737.2</v>
      </c>
      <c r="L150">
        <v>400</v>
      </c>
      <c r="M150" t="s">
        <v>543</v>
      </c>
      <c r="N150" t="s">
        <v>544</v>
      </c>
      <c r="O150">
        <v>123.47</v>
      </c>
      <c r="P150">
        <v>6137.2</v>
      </c>
      <c r="R150" t="s">
        <v>1008</v>
      </c>
      <c r="S150">
        <v>1</v>
      </c>
      <c r="T150" t="s">
        <v>729</v>
      </c>
      <c r="U150" t="s">
        <v>547</v>
      </c>
      <c r="V150">
        <v>5737.2</v>
      </c>
      <c r="W150">
        <v>5737.2</v>
      </c>
      <c r="Z150" t="s">
        <v>730</v>
      </c>
      <c r="AA150" t="s">
        <v>549</v>
      </c>
      <c r="AB150" t="s">
        <v>748</v>
      </c>
      <c r="AC150" t="s">
        <v>550</v>
      </c>
      <c r="AD150" t="s">
        <v>551</v>
      </c>
      <c r="AE150" t="s">
        <v>1009</v>
      </c>
      <c r="AF150" t="s">
        <v>1010</v>
      </c>
      <c r="AG150" t="s">
        <v>1011</v>
      </c>
      <c r="AH150" t="s">
        <v>1012</v>
      </c>
      <c r="AI150" t="s">
        <v>670</v>
      </c>
      <c r="AJ150" t="s">
        <v>1013</v>
      </c>
      <c r="AK150" t="s">
        <v>556</v>
      </c>
      <c r="AM150" t="s">
        <v>1014</v>
      </c>
      <c r="AN150" t="s">
        <v>558</v>
      </c>
      <c r="AO150" t="s">
        <v>1015</v>
      </c>
      <c r="AP150" t="s">
        <v>1016</v>
      </c>
      <c r="AQ150" t="s">
        <v>1017</v>
      </c>
      <c r="AR150" t="s">
        <v>1011</v>
      </c>
      <c r="AS150" t="s">
        <v>106</v>
      </c>
      <c r="AT150" t="s">
        <v>1018</v>
      </c>
      <c r="AU150" t="s">
        <v>1011</v>
      </c>
      <c r="AV150" t="s">
        <v>1012</v>
      </c>
      <c r="AW150" t="s">
        <v>670</v>
      </c>
      <c r="AX150" t="s">
        <v>1013</v>
      </c>
      <c r="AY150" t="s">
        <v>556</v>
      </c>
      <c r="BA150" t="s">
        <v>1014</v>
      </c>
      <c r="BB150" t="s">
        <v>558</v>
      </c>
      <c r="BC150" t="s">
        <v>1015</v>
      </c>
      <c r="BD150" t="s">
        <v>1011</v>
      </c>
      <c r="BH150" t="s">
        <v>560</v>
      </c>
      <c r="BI150" t="s">
        <v>561</v>
      </c>
      <c r="BK150" t="s">
        <v>607</v>
      </c>
      <c r="BL150" t="s">
        <v>562</v>
      </c>
      <c r="BM150" t="s">
        <v>1019</v>
      </c>
      <c r="BN150">
        <v>1</v>
      </c>
      <c r="BO150">
        <v>56.8</v>
      </c>
      <c r="BP150">
        <v>20</v>
      </c>
      <c r="BQ150">
        <v>66.67</v>
      </c>
      <c r="BR150" t="s">
        <v>549</v>
      </c>
    </row>
    <row r="151" spans="1:70">
      <c r="A151" t="s">
        <v>1020</v>
      </c>
      <c r="B151" t="s">
        <v>380</v>
      </c>
      <c r="C151" t="s">
        <v>1021</v>
      </c>
      <c r="D151" t="s">
        <v>759</v>
      </c>
      <c r="E151" t="s">
        <v>381</v>
      </c>
      <c r="F151">
        <v>1</v>
      </c>
      <c r="G151" t="s">
        <v>539</v>
      </c>
      <c r="H151" t="s">
        <v>1022</v>
      </c>
      <c r="I151" t="s">
        <v>748</v>
      </c>
      <c r="J151" t="s">
        <v>542</v>
      </c>
      <c r="K151">
        <v>2301.6</v>
      </c>
      <c r="L151">
        <v>400</v>
      </c>
      <c r="M151" t="s">
        <v>543</v>
      </c>
      <c r="N151" t="s">
        <v>544</v>
      </c>
      <c r="O151">
        <v>89.46</v>
      </c>
      <c r="P151">
        <v>2701.6</v>
      </c>
      <c r="R151" t="s">
        <v>1023</v>
      </c>
      <c r="S151">
        <v>1</v>
      </c>
      <c r="T151" t="s">
        <v>632</v>
      </c>
      <c r="U151" t="s">
        <v>547</v>
      </c>
      <c r="V151">
        <v>2301.6</v>
      </c>
      <c r="W151">
        <v>2301.6</v>
      </c>
      <c r="Z151" t="s">
        <v>633</v>
      </c>
      <c r="AA151" t="s">
        <v>549</v>
      </c>
      <c r="AB151" t="s">
        <v>748</v>
      </c>
      <c r="AC151" t="s">
        <v>550</v>
      </c>
      <c r="AD151" t="s">
        <v>551</v>
      </c>
      <c r="AE151" t="s">
        <v>380</v>
      </c>
      <c r="AF151" t="s">
        <v>1024</v>
      </c>
      <c r="AG151" t="s">
        <v>1025</v>
      </c>
      <c r="AI151" t="s">
        <v>764</v>
      </c>
      <c r="AJ151" t="s">
        <v>765</v>
      </c>
      <c r="AK151" t="s">
        <v>556</v>
      </c>
      <c r="AM151" t="s">
        <v>690</v>
      </c>
      <c r="AN151" t="s">
        <v>558</v>
      </c>
      <c r="AO151" t="s">
        <v>766</v>
      </c>
      <c r="AP151" t="s">
        <v>549</v>
      </c>
      <c r="AQ151" t="s">
        <v>549</v>
      </c>
      <c r="AR151" t="s">
        <v>1026</v>
      </c>
      <c r="AS151" t="s">
        <v>380</v>
      </c>
      <c r="AT151" t="s">
        <v>1024</v>
      </c>
      <c r="AU151" t="s">
        <v>1025</v>
      </c>
      <c r="AW151" t="s">
        <v>764</v>
      </c>
      <c r="AX151" t="s">
        <v>765</v>
      </c>
      <c r="AY151" t="s">
        <v>556</v>
      </c>
      <c r="BA151" t="s">
        <v>690</v>
      </c>
      <c r="BB151" t="s">
        <v>558</v>
      </c>
      <c r="BC151" t="s">
        <v>766</v>
      </c>
      <c r="BD151" t="s">
        <v>1026</v>
      </c>
      <c r="BH151" t="s">
        <v>560</v>
      </c>
      <c r="BI151" t="s">
        <v>561</v>
      </c>
      <c r="BK151" t="s">
        <v>607</v>
      </c>
      <c r="BL151" t="s">
        <v>562</v>
      </c>
      <c r="BM151" t="s">
        <v>1027</v>
      </c>
      <c r="BN151">
        <v>1</v>
      </c>
      <c r="BO151">
        <v>22.79</v>
      </c>
      <c r="BP151">
        <v>20</v>
      </c>
      <c r="BQ151">
        <v>66.67</v>
      </c>
      <c r="BR151" t="s">
        <v>549</v>
      </c>
    </row>
    <row r="152" spans="1:70">
      <c r="A152" t="s">
        <v>1028</v>
      </c>
      <c r="B152" t="s">
        <v>382</v>
      </c>
      <c r="C152" t="s">
        <v>1029</v>
      </c>
      <c r="D152" t="s">
        <v>1030</v>
      </c>
      <c r="E152" t="s">
        <v>383</v>
      </c>
      <c r="F152">
        <v>1</v>
      </c>
      <c r="G152" t="s">
        <v>539</v>
      </c>
      <c r="H152" t="s">
        <v>1031</v>
      </c>
      <c r="I152" t="s">
        <v>748</v>
      </c>
      <c r="J152" t="s">
        <v>542</v>
      </c>
      <c r="K152">
        <v>5866</v>
      </c>
      <c r="L152">
        <v>400</v>
      </c>
      <c r="M152" t="s">
        <v>543</v>
      </c>
      <c r="N152" t="s">
        <v>544</v>
      </c>
      <c r="O152">
        <v>124.75</v>
      </c>
      <c r="P152">
        <v>6266</v>
      </c>
      <c r="R152" t="s">
        <v>1032</v>
      </c>
      <c r="S152">
        <v>1</v>
      </c>
      <c r="T152" t="s">
        <v>1033</v>
      </c>
      <c r="U152" t="s">
        <v>547</v>
      </c>
      <c r="V152">
        <v>3087</v>
      </c>
      <c r="W152">
        <v>3087</v>
      </c>
      <c r="Z152" t="s">
        <v>1034</v>
      </c>
      <c r="AA152" t="s">
        <v>549</v>
      </c>
      <c r="AB152" t="s">
        <v>748</v>
      </c>
      <c r="AC152" t="s">
        <v>550</v>
      </c>
      <c r="AD152" t="s">
        <v>551</v>
      </c>
      <c r="AE152" t="s">
        <v>1035</v>
      </c>
      <c r="AF152" t="s">
        <v>1036</v>
      </c>
      <c r="AI152" t="s">
        <v>1037</v>
      </c>
      <c r="AJ152" t="s">
        <v>1038</v>
      </c>
      <c r="AK152" t="s">
        <v>556</v>
      </c>
      <c r="AM152" t="s">
        <v>1039</v>
      </c>
      <c r="AN152" t="s">
        <v>558</v>
      </c>
      <c r="AO152" t="s">
        <v>1040</v>
      </c>
      <c r="AP152" t="s">
        <v>549</v>
      </c>
      <c r="AQ152" t="s">
        <v>549</v>
      </c>
      <c r="AR152" t="s">
        <v>549</v>
      </c>
      <c r="AS152" t="s">
        <v>1035</v>
      </c>
      <c r="AT152" t="s">
        <v>1036</v>
      </c>
      <c r="AW152" t="s">
        <v>1037</v>
      </c>
      <c r="AX152" t="s">
        <v>1038</v>
      </c>
      <c r="AY152" t="s">
        <v>556</v>
      </c>
      <c r="BA152" t="s">
        <v>1039</v>
      </c>
      <c r="BB152" t="s">
        <v>558</v>
      </c>
      <c r="BC152" t="s">
        <v>1040</v>
      </c>
      <c r="BD152" t="s">
        <v>549</v>
      </c>
      <c r="BH152" t="s">
        <v>560</v>
      </c>
      <c r="BI152" t="s">
        <v>561</v>
      </c>
      <c r="BK152" t="s">
        <v>607</v>
      </c>
      <c r="BL152" t="s">
        <v>562</v>
      </c>
      <c r="BM152" t="s">
        <v>1041</v>
      </c>
      <c r="BN152">
        <v>1</v>
      </c>
      <c r="BO152">
        <v>58.08</v>
      </c>
      <c r="BP152">
        <v>20</v>
      </c>
      <c r="BQ152">
        <v>66.67</v>
      </c>
      <c r="BR152" t="s">
        <v>549</v>
      </c>
    </row>
    <row r="153" spans="1:70">
      <c r="A153" t="s">
        <v>1028</v>
      </c>
      <c r="B153" t="s">
        <v>382</v>
      </c>
      <c r="C153" t="s">
        <v>1029</v>
      </c>
      <c r="D153" t="s">
        <v>1030</v>
      </c>
      <c r="E153" t="s">
        <v>383</v>
      </c>
      <c r="F153">
        <v>1</v>
      </c>
      <c r="H153" t="s">
        <v>1031</v>
      </c>
      <c r="R153" t="s">
        <v>1032</v>
      </c>
      <c r="S153">
        <v>1</v>
      </c>
      <c r="T153" t="s">
        <v>953</v>
      </c>
      <c r="U153" t="s">
        <v>547</v>
      </c>
      <c r="V153">
        <v>2779</v>
      </c>
      <c r="W153">
        <v>2779</v>
      </c>
      <c r="Z153" t="s">
        <v>954</v>
      </c>
      <c r="AA153" t="s">
        <v>549</v>
      </c>
      <c r="AB153" t="s">
        <v>748</v>
      </c>
      <c r="AC153" t="s">
        <v>550</v>
      </c>
      <c r="AD153" t="s">
        <v>551</v>
      </c>
      <c r="BR153" t="s">
        <v>549</v>
      </c>
    </row>
    <row r="154" spans="1:70">
      <c r="A154" t="s">
        <v>1042</v>
      </c>
      <c r="B154" t="s">
        <v>1043</v>
      </c>
      <c r="C154" t="s">
        <v>1044</v>
      </c>
      <c r="D154" t="s">
        <v>1006</v>
      </c>
      <c r="E154" t="s">
        <v>107</v>
      </c>
      <c r="F154">
        <v>1</v>
      </c>
      <c r="G154" t="s">
        <v>539</v>
      </c>
      <c r="H154" t="s">
        <v>1045</v>
      </c>
      <c r="I154" t="s">
        <v>748</v>
      </c>
      <c r="J154" t="s">
        <v>542</v>
      </c>
      <c r="K154">
        <v>5056.8</v>
      </c>
      <c r="L154">
        <v>400</v>
      </c>
      <c r="M154" t="s">
        <v>543</v>
      </c>
      <c r="N154" t="s">
        <v>544</v>
      </c>
      <c r="O154">
        <v>116.74</v>
      </c>
      <c r="P154">
        <v>5456.8</v>
      </c>
      <c r="R154" t="s">
        <v>1046</v>
      </c>
      <c r="S154">
        <v>1</v>
      </c>
      <c r="T154" t="s">
        <v>1047</v>
      </c>
      <c r="U154" t="s">
        <v>547</v>
      </c>
      <c r="V154">
        <v>5056.8</v>
      </c>
      <c r="W154">
        <v>5056.8</v>
      </c>
      <c r="Z154" t="s">
        <v>610</v>
      </c>
      <c r="AA154" t="s">
        <v>549</v>
      </c>
      <c r="AB154" t="s">
        <v>748</v>
      </c>
      <c r="AC154" t="s">
        <v>550</v>
      </c>
      <c r="AD154" t="s">
        <v>551</v>
      </c>
      <c r="AE154" t="s">
        <v>1043</v>
      </c>
      <c r="AF154" t="s">
        <v>1048</v>
      </c>
      <c r="AH154" t="s">
        <v>1012</v>
      </c>
      <c r="AI154" t="s">
        <v>670</v>
      </c>
      <c r="AJ154" t="s">
        <v>1013</v>
      </c>
      <c r="AK154" t="s">
        <v>556</v>
      </c>
      <c r="AM154" t="s">
        <v>1014</v>
      </c>
      <c r="AN154" t="s">
        <v>558</v>
      </c>
      <c r="AO154" t="s">
        <v>1015</v>
      </c>
      <c r="AP154" t="s">
        <v>1016</v>
      </c>
      <c r="AQ154" t="s">
        <v>1017</v>
      </c>
      <c r="AR154" t="s">
        <v>1011</v>
      </c>
      <c r="AS154" t="s">
        <v>1043</v>
      </c>
      <c r="AT154" t="s">
        <v>1048</v>
      </c>
      <c r="AV154" t="s">
        <v>1012</v>
      </c>
      <c r="AW154" t="s">
        <v>670</v>
      </c>
      <c r="AX154" t="s">
        <v>1013</v>
      </c>
      <c r="AY154" t="s">
        <v>556</v>
      </c>
      <c r="BA154" t="s">
        <v>1014</v>
      </c>
      <c r="BB154" t="s">
        <v>558</v>
      </c>
      <c r="BC154" t="s">
        <v>1015</v>
      </c>
      <c r="BD154" t="s">
        <v>1011</v>
      </c>
      <c r="BH154" t="s">
        <v>560</v>
      </c>
      <c r="BI154" t="s">
        <v>561</v>
      </c>
      <c r="BK154" t="s">
        <v>607</v>
      </c>
      <c r="BL154" t="s">
        <v>562</v>
      </c>
      <c r="BM154" t="s">
        <v>1049</v>
      </c>
      <c r="BN154">
        <v>1</v>
      </c>
      <c r="BO154">
        <v>50.07</v>
      </c>
      <c r="BP154">
        <v>20</v>
      </c>
      <c r="BQ154">
        <v>66.67</v>
      </c>
      <c r="BR154" t="s">
        <v>549</v>
      </c>
    </row>
    <row r="155" spans="1:70">
      <c r="A155" t="s">
        <v>1050</v>
      </c>
      <c r="B155" t="s">
        <v>48</v>
      </c>
      <c r="C155" t="s">
        <v>745</v>
      </c>
      <c r="D155" t="s">
        <v>746</v>
      </c>
      <c r="E155" t="s">
        <v>116</v>
      </c>
      <c r="F155">
        <v>4</v>
      </c>
      <c r="G155" t="s">
        <v>539</v>
      </c>
      <c r="H155" t="s">
        <v>1051</v>
      </c>
      <c r="I155" t="s">
        <v>748</v>
      </c>
      <c r="J155" t="s">
        <v>542</v>
      </c>
      <c r="K155">
        <v>21620.2</v>
      </c>
      <c r="L155">
        <v>0</v>
      </c>
      <c r="M155" t="s">
        <v>570</v>
      </c>
      <c r="N155" t="s">
        <v>544</v>
      </c>
      <c r="O155">
        <v>203.36</v>
      </c>
      <c r="P155">
        <v>20539.189999999999</v>
      </c>
      <c r="Q155">
        <v>1081.01</v>
      </c>
      <c r="R155" t="s">
        <v>1052</v>
      </c>
      <c r="S155">
        <v>1</v>
      </c>
      <c r="T155" t="s">
        <v>1053</v>
      </c>
      <c r="U155" t="s">
        <v>547</v>
      </c>
      <c r="V155">
        <v>6590.15</v>
      </c>
      <c r="W155">
        <v>6937</v>
      </c>
      <c r="Z155" t="s">
        <v>1054</v>
      </c>
      <c r="AA155" t="s">
        <v>549</v>
      </c>
      <c r="AB155" t="s">
        <v>748</v>
      </c>
      <c r="AC155" t="s">
        <v>550</v>
      </c>
      <c r="AD155" t="s">
        <v>551</v>
      </c>
      <c r="AE155" t="s">
        <v>750</v>
      </c>
      <c r="AF155" t="s">
        <v>751</v>
      </c>
      <c r="AG155" t="s">
        <v>752</v>
      </c>
      <c r="AI155" t="s">
        <v>601</v>
      </c>
      <c r="AJ155" t="s">
        <v>753</v>
      </c>
      <c r="AK155" t="s">
        <v>556</v>
      </c>
      <c r="AM155" t="s">
        <v>754</v>
      </c>
      <c r="AN155" t="s">
        <v>558</v>
      </c>
      <c r="AO155" t="s">
        <v>49</v>
      </c>
      <c r="AP155" t="s">
        <v>549</v>
      </c>
      <c r="AQ155" t="s">
        <v>549</v>
      </c>
      <c r="AR155" t="s">
        <v>755</v>
      </c>
      <c r="AS155" t="s">
        <v>750</v>
      </c>
      <c r="AT155" t="s">
        <v>751</v>
      </c>
      <c r="AU155" t="s">
        <v>752</v>
      </c>
      <c r="AW155" t="s">
        <v>601</v>
      </c>
      <c r="AX155" t="s">
        <v>753</v>
      </c>
      <c r="AY155" t="s">
        <v>556</v>
      </c>
      <c r="BA155" t="s">
        <v>754</v>
      </c>
      <c r="BB155" t="s">
        <v>558</v>
      </c>
      <c r="BC155" t="s">
        <v>49</v>
      </c>
      <c r="BD155" t="s">
        <v>755</v>
      </c>
      <c r="BH155" t="s">
        <v>560</v>
      </c>
      <c r="BI155" t="s">
        <v>561</v>
      </c>
      <c r="BK155" t="s">
        <v>607</v>
      </c>
      <c r="BL155" t="s">
        <v>562</v>
      </c>
      <c r="BM155" t="s">
        <v>1055</v>
      </c>
      <c r="BN155">
        <v>1</v>
      </c>
      <c r="BO155">
        <v>203.36</v>
      </c>
      <c r="BR155" t="s">
        <v>549</v>
      </c>
    </row>
    <row r="156" spans="1:70">
      <c r="A156" t="s">
        <v>1050</v>
      </c>
      <c r="B156" t="s">
        <v>48</v>
      </c>
      <c r="C156" t="s">
        <v>745</v>
      </c>
      <c r="D156" t="s">
        <v>746</v>
      </c>
      <c r="E156" t="s">
        <v>116</v>
      </c>
      <c r="F156">
        <v>4</v>
      </c>
      <c r="H156" t="s">
        <v>1051</v>
      </c>
      <c r="R156" t="s">
        <v>1052</v>
      </c>
      <c r="S156">
        <v>1</v>
      </c>
      <c r="T156" t="s">
        <v>586</v>
      </c>
      <c r="U156" t="s">
        <v>547</v>
      </c>
      <c r="V156">
        <v>4748.1000000000004</v>
      </c>
      <c r="W156">
        <v>4998</v>
      </c>
      <c r="Z156" t="s">
        <v>587</v>
      </c>
      <c r="AA156" t="s">
        <v>549</v>
      </c>
      <c r="AB156" t="s">
        <v>748</v>
      </c>
      <c r="AC156" t="s">
        <v>550</v>
      </c>
      <c r="AD156" t="s">
        <v>551</v>
      </c>
      <c r="BR156" t="s">
        <v>549</v>
      </c>
    </row>
    <row r="157" spans="1:70">
      <c r="A157" t="s">
        <v>1050</v>
      </c>
      <c r="B157" t="s">
        <v>48</v>
      </c>
      <c r="C157" t="s">
        <v>745</v>
      </c>
      <c r="D157" t="s">
        <v>746</v>
      </c>
      <c r="E157" t="s">
        <v>116</v>
      </c>
      <c r="F157">
        <v>4</v>
      </c>
      <c r="H157" t="s">
        <v>1051</v>
      </c>
      <c r="R157" t="s">
        <v>1052</v>
      </c>
      <c r="S157">
        <v>1</v>
      </c>
      <c r="T157" t="s">
        <v>740</v>
      </c>
      <c r="U157" t="s">
        <v>547</v>
      </c>
      <c r="V157">
        <v>6312.18</v>
      </c>
      <c r="W157">
        <v>6644.4</v>
      </c>
      <c r="Z157" t="s">
        <v>741</v>
      </c>
      <c r="AA157" t="s">
        <v>549</v>
      </c>
      <c r="AB157" t="s">
        <v>748</v>
      </c>
      <c r="AC157" t="s">
        <v>550</v>
      </c>
      <c r="AD157" t="s">
        <v>551</v>
      </c>
      <c r="BR157" t="s">
        <v>549</v>
      </c>
    </row>
    <row r="158" spans="1:70">
      <c r="A158" t="s">
        <v>1050</v>
      </c>
      <c r="B158" t="s">
        <v>48</v>
      </c>
      <c r="C158" t="s">
        <v>745</v>
      </c>
      <c r="D158" t="s">
        <v>746</v>
      </c>
      <c r="E158" t="s">
        <v>116</v>
      </c>
      <c r="F158">
        <v>4</v>
      </c>
      <c r="H158" t="s">
        <v>1051</v>
      </c>
      <c r="R158" t="s">
        <v>1052</v>
      </c>
      <c r="S158">
        <v>1</v>
      </c>
      <c r="T158" t="s">
        <v>584</v>
      </c>
      <c r="U158" t="s">
        <v>547</v>
      </c>
      <c r="V158">
        <v>2888.76</v>
      </c>
      <c r="W158">
        <v>3040.8</v>
      </c>
      <c r="Z158" t="s">
        <v>585</v>
      </c>
      <c r="AA158" t="s">
        <v>549</v>
      </c>
      <c r="AB158" t="s">
        <v>748</v>
      </c>
      <c r="AC158" t="s">
        <v>550</v>
      </c>
      <c r="AD158" t="s">
        <v>551</v>
      </c>
      <c r="BR158" t="s">
        <v>549</v>
      </c>
    </row>
    <row r="159" spans="1:70">
      <c r="A159" t="s">
        <v>1056</v>
      </c>
      <c r="B159" t="s">
        <v>32</v>
      </c>
      <c r="C159" t="s">
        <v>567</v>
      </c>
      <c r="D159" t="s">
        <v>568</v>
      </c>
      <c r="E159" t="s">
        <v>34</v>
      </c>
      <c r="F159">
        <v>8</v>
      </c>
      <c r="G159" t="s">
        <v>539</v>
      </c>
      <c r="H159" t="s">
        <v>1057</v>
      </c>
      <c r="I159" t="s">
        <v>748</v>
      </c>
      <c r="J159" t="s">
        <v>542</v>
      </c>
      <c r="K159">
        <v>69300</v>
      </c>
      <c r="L159">
        <v>0</v>
      </c>
      <c r="M159" t="s">
        <v>570</v>
      </c>
      <c r="N159" t="s">
        <v>544</v>
      </c>
      <c r="O159">
        <v>686.14</v>
      </c>
      <c r="P159">
        <v>69300</v>
      </c>
      <c r="R159" t="s">
        <v>1058</v>
      </c>
      <c r="S159">
        <v>4</v>
      </c>
      <c r="T159" t="s">
        <v>572</v>
      </c>
      <c r="U159" t="s">
        <v>547</v>
      </c>
      <c r="V159">
        <v>6174</v>
      </c>
      <c r="W159">
        <v>6174</v>
      </c>
      <c r="Z159" t="s">
        <v>573</v>
      </c>
      <c r="AA159" t="s">
        <v>549</v>
      </c>
      <c r="AB159" t="s">
        <v>748</v>
      </c>
      <c r="AC159" t="s">
        <v>550</v>
      </c>
      <c r="AD159" t="s">
        <v>551</v>
      </c>
      <c r="AE159" t="s">
        <v>32</v>
      </c>
      <c r="AF159" t="s">
        <v>574</v>
      </c>
      <c r="AG159" t="s">
        <v>575</v>
      </c>
      <c r="AH159" t="s">
        <v>576</v>
      </c>
      <c r="AI159" t="s">
        <v>577</v>
      </c>
      <c r="AJ159" t="s">
        <v>578</v>
      </c>
      <c r="AK159" t="s">
        <v>556</v>
      </c>
      <c r="AM159" t="s">
        <v>579</v>
      </c>
      <c r="AN159" t="s">
        <v>558</v>
      </c>
      <c r="AO159" t="s">
        <v>33</v>
      </c>
      <c r="AP159" t="s">
        <v>580</v>
      </c>
      <c r="AQ159" t="s">
        <v>581</v>
      </c>
      <c r="AR159" t="s">
        <v>582</v>
      </c>
      <c r="AS159" t="s">
        <v>32</v>
      </c>
      <c r="AT159" t="s">
        <v>574</v>
      </c>
      <c r="AU159" t="s">
        <v>575</v>
      </c>
      <c r="AV159" t="s">
        <v>576</v>
      </c>
      <c r="AW159" t="s">
        <v>577</v>
      </c>
      <c r="AX159" t="s">
        <v>578</v>
      </c>
      <c r="AY159" t="s">
        <v>556</v>
      </c>
      <c r="BA159" t="s">
        <v>579</v>
      </c>
      <c r="BB159" t="s">
        <v>558</v>
      </c>
      <c r="BC159" t="s">
        <v>33</v>
      </c>
      <c r="BD159" t="s">
        <v>582</v>
      </c>
      <c r="BH159" t="s">
        <v>560</v>
      </c>
      <c r="BI159" t="s">
        <v>561</v>
      </c>
      <c r="BK159" t="s">
        <v>607</v>
      </c>
      <c r="BL159" t="s">
        <v>562</v>
      </c>
      <c r="BM159" t="s">
        <v>1059</v>
      </c>
      <c r="BN159">
        <v>1</v>
      </c>
      <c r="BO159">
        <v>686.14</v>
      </c>
      <c r="BR159" t="s">
        <v>549</v>
      </c>
    </row>
    <row r="160" spans="1:70">
      <c r="A160" t="s">
        <v>1056</v>
      </c>
      <c r="B160" t="s">
        <v>32</v>
      </c>
      <c r="C160" t="s">
        <v>567</v>
      </c>
      <c r="D160" t="s">
        <v>568</v>
      </c>
      <c r="E160" t="s">
        <v>34</v>
      </c>
      <c r="F160">
        <v>8</v>
      </c>
      <c r="H160" t="s">
        <v>1057</v>
      </c>
      <c r="R160" t="s">
        <v>1058</v>
      </c>
      <c r="S160">
        <v>4</v>
      </c>
      <c r="T160" t="s">
        <v>588</v>
      </c>
      <c r="U160" t="s">
        <v>547</v>
      </c>
      <c r="V160">
        <v>4788</v>
      </c>
      <c r="W160">
        <v>4788</v>
      </c>
      <c r="Z160" t="s">
        <v>589</v>
      </c>
      <c r="AA160" t="s">
        <v>549</v>
      </c>
      <c r="AB160" t="s">
        <v>748</v>
      </c>
      <c r="AC160" t="s">
        <v>550</v>
      </c>
      <c r="AD160" t="s">
        <v>551</v>
      </c>
      <c r="BR160" t="s">
        <v>549</v>
      </c>
    </row>
    <row r="161" spans="1:70">
      <c r="A161" t="s">
        <v>1056</v>
      </c>
      <c r="B161" t="s">
        <v>32</v>
      </c>
      <c r="C161" t="s">
        <v>567</v>
      </c>
      <c r="D161" t="s">
        <v>568</v>
      </c>
      <c r="E161" t="s">
        <v>34</v>
      </c>
      <c r="F161">
        <v>8</v>
      </c>
      <c r="H161" t="s">
        <v>1057</v>
      </c>
      <c r="R161" t="s">
        <v>1058</v>
      </c>
      <c r="S161">
        <v>3</v>
      </c>
      <c r="T161" t="s">
        <v>818</v>
      </c>
      <c r="U161" t="s">
        <v>547</v>
      </c>
      <c r="V161">
        <v>806.4</v>
      </c>
      <c r="W161">
        <v>806.4</v>
      </c>
      <c r="Z161" t="s">
        <v>819</v>
      </c>
      <c r="AA161" t="s">
        <v>549</v>
      </c>
      <c r="AB161" t="s">
        <v>748</v>
      </c>
      <c r="AC161" t="s">
        <v>550</v>
      </c>
      <c r="AD161" t="s">
        <v>551</v>
      </c>
      <c r="BR161" t="s">
        <v>549</v>
      </c>
    </row>
    <row r="162" spans="1:70">
      <c r="A162" t="s">
        <v>1056</v>
      </c>
      <c r="B162" t="s">
        <v>32</v>
      </c>
      <c r="C162" t="s">
        <v>567</v>
      </c>
      <c r="D162" t="s">
        <v>568</v>
      </c>
      <c r="E162" t="s">
        <v>34</v>
      </c>
      <c r="F162">
        <v>8</v>
      </c>
      <c r="H162" t="s">
        <v>1057</v>
      </c>
      <c r="R162" t="s">
        <v>1058</v>
      </c>
      <c r="S162">
        <v>4</v>
      </c>
      <c r="T162" t="s">
        <v>586</v>
      </c>
      <c r="U162" t="s">
        <v>547</v>
      </c>
      <c r="V162">
        <v>4998</v>
      </c>
      <c r="W162">
        <v>4998</v>
      </c>
      <c r="Z162" t="s">
        <v>587</v>
      </c>
      <c r="AA162" t="s">
        <v>549</v>
      </c>
      <c r="AB162" t="s">
        <v>748</v>
      </c>
      <c r="AC162" t="s">
        <v>550</v>
      </c>
      <c r="AD162" t="s">
        <v>551</v>
      </c>
      <c r="BR162" t="s">
        <v>549</v>
      </c>
    </row>
    <row r="163" spans="1:70">
      <c r="A163" t="s">
        <v>1056</v>
      </c>
      <c r="B163" t="s">
        <v>32</v>
      </c>
      <c r="C163" t="s">
        <v>567</v>
      </c>
      <c r="D163" t="s">
        <v>568</v>
      </c>
      <c r="E163" t="s">
        <v>34</v>
      </c>
      <c r="F163">
        <v>8</v>
      </c>
      <c r="H163" t="s">
        <v>1057</v>
      </c>
      <c r="R163" t="s">
        <v>1058</v>
      </c>
      <c r="S163">
        <v>1</v>
      </c>
      <c r="T163" t="s">
        <v>584</v>
      </c>
      <c r="U163" t="s">
        <v>547</v>
      </c>
      <c r="V163">
        <v>3040.8</v>
      </c>
      <c r="W163">
        <v>3040.8</v>
      </c>
      <c r="Z163" t="s">
        <v>585</v>
      </c>
      <c r="AA163" t="s">
        <v>549</v>
      </c>
      <c r="AB163" t="s">
        <v>748</v>
      </c>
      <c r="AC163" t="s">
        <v>550</v>
      </c>
      <c r="AD163" t="s">
        <v>551</v>
      </c>
      <c r="BR163" t="s">
        <v>549</v>
      </c>
    </row>
    <row r="164" spans="1:70">
      <c r="A164" t="s">
        <v>1060</v>
      </c>
      <c r="B164" t="s">
        <v>91</v>
      </c>
      <c r="C164" t="s">
        <v>949</v>
      </c>
      <c r="D164" t="s">
        <v>950</v>
      </c>
      <c r="E164" t="s">
        <v>93</v>
      </c>
      <c r="F164">
        <v>1</v>
      </c>
      <c r="G164" t="s">
        <v>539</v>
      </c>
      <c r="H164" t="s">
        <v>1061</v>
      </c>
      <c r="I164" t="s">
        <v>748</v>
      </c>
      <c r="J164" t="s">
        <v>542</v>
      </c>
      <c r="K164">
        <v>37786</v>
      </c>
      <c r="L164">
        <v>0</v>
      </c>
      <c r="M164" t="s">
        <v>570</v>
      </c>
      <c r="N164" t="s">
        <v>544</v>
      </c>
      <c r="O164">
        <v>374.12</v>
      </c>
      <c r="P164">
        <v>37786</v>
      </c>
      <c r="R164" t="s">
        <v>1062</v>
      </c>
      <c r="S164">
        <v>10</v>
      </c>
      <c r="T164" t="s">
        <v>953</v>
      </c>
      <c r="U164" t="s">
        <v>547</v>
      </c>
      <c r="V164">
        <v>2779</v>
      </c>
      <c r="W164">
        <v>2779</v>
      </c>
      <c r="Z164" t="s">
        <v>954</v>
      </c>
      <c r="AA164" t="s">
        <v>549</v>
      </c>
      <c r="AB164" t="s">
        <v>748</v>
      </c>
      <c r="AC164" t="s">
        <v>550</v>
      </c>
      <c r="AD164" t="s">
        <v>551</v>
      </c>
      <c r="AE164" t="s">
        <v>91</v>
      </c>
      <c r="AF164" t="s">
        <v>955</v>
      </c>
      <c r="AI164" t="s">
        <v>670</v>
      </c>
      <c r="AJ164" t="s">
        <v>956</v>
      </c>
      <c r="AK164" t="s">
        <v>556</v>
      </c>
      <c r="AM164" t="s">
        <v>957</v>
      </c>
      <c r="AN164" t="s">
        <v>558</v>
      </c>
      <c r="AO164" t="s">
        <v>92</v>
      </c>
      <c r="AP164" t="s">
        <v>549</v>
      </c>
      <c r="AQ164" t="s">
        <v>549</v>
      </c>
      <c r="AR164" t="s">
        <v>958</v>
      </c>
      <c r="AS164" t="s">
        <v>91</v>
      </c>
      <c r="AT164" t="s">
        <v>955</v>
      </c>
      <c r="AW164" t="s">
        <v>670</v>
      </c>
      <c r="AX164" t="s">
        <v>956</v>
      </c>
      <c r="AY164" t="s">
        <v>556</v>
      </c>
      <c r="BA164" t="s">
        <v>957</v>
      </c>
      <c r="BB164" t="s">
        <v>558</v>
      </c>
      <c r="BC164" t="s">
        <v>92</v>
      </c>
      <c r="BD164" t="s">
        <v>958</v>
      </c>
      <c r="BH164" t="s">
        <v>560</v>
      </c>
      <c r="BI164" t="s">
        <v>561</v>
      </c>
      <c r="BK164" t="s">
        <v>607</v>
      </c>
      <c r="BL164" t="s">
        <v>562</v>
      </c>
      <c r="BM164" t="s">
        <v>1063</v>
      </c>
      <c r="BN164">
        <v>1</v>
      </c>
      <c r="BO164">
        <v>374.12</v>
      </c>
      <c r="BR164" t="s">
        <v>549</v>
      </c>
    </row>
    <row r="165" spans="1:70">
      <c r="A165" t="s">
        <v>1060</v>
      </c>
      <c r="B165" t="s">
        <v>91</v>
      </c>
      <c r="C165" t="s">
        <v>949</v>
      </c>
      <c r="D165" t="s">
        <v>950</v>
      </c>
      <c r="E165" t="s">
        <v>93</v>
      </c>
      <c r="F165">
        <v>1</v>
      </c>
      <c r="H165" t="s">
        <v>1061</v>
      </c>
      <c r="R165" t="s">
        <v>1062</v>
      </c>
      <c r="S165">
        <v>2</v>
      </c>
      <c r="T165" t="s">
        <v>616</v>
      </c>
      <c r="U165" t="s">
        <v>547</v>
      </c>
      <c r="V165">
        <v>1911</v>
      </c>
      <c r="W165">
        <v>1911</v>
      </c>
      <c r="Z165" t="s">
        <v>617</v>
      </c>
      <c r="AA165" t="s">
        <v>549</v>
      </c>
      <c r="AB165" t="s">
        <v>748</v>
      </c>
      <c r="AC165" t="s">
        <v>550</v>
      </c>
      <c r="AD165" t="s">
        <v>551</v>
      </c>
      <c r="BR165" t="s">
        <v>549</v>
      </c>
    </row>
    <row r="166" spans="1:70">
      <c r="A166" t="s">
        <v>1060</v>
      </c>
      <c r="B166" t="s">
        <v>91</v>
      </c>
      <c r="C166" t="s">
        <v>949</v>
      </c>
      <c r="D166" t="s">
        <v>950</v>
      </c>
      <c r="E166" t="s">
        <v>93</v>
      </c>
      <c r="F166">
        <v>1</v>
      </c>
      <c r="H166" t="s">
        <v>1061</v>
      </c>
      <c r="R166" t="s">
        <v>1062</v>
      </c>
      <c r="S166">
        <v>2</v>
      </c>
      <c r="T166" t="s">
        <v>1033</v>
      </c>
      <c r="U166" t="s">
        <v>547</v>
      </c>
      <c r="V166">
        <v>3087</v>
      </c>
      <c r="W166">
        <v>3087</v>
      </c>
      <c r="Z166" t="s">
        <v>1034</v>
      </c>
      <c r="AA166" t="s">
        <v>549</v>
      </c>
      <c r="AB166" t="s">
        <v>748</v>
      </c>
      <c r="AC166" t="s">
        <v>550</v>
      </c>
      <c r="AD166" t="s">
        <v>551</v>
      </c>
      <c r="BR166" t="s">
        <v>549</v>
      </c>
    </row>
    <row r="167" spans="1:70">
      <c r="A167" t="s">
        <v>1064</v>
      </c>
      <c r="B167" t="s">
        <v>117</v>
      </c>
      <c r="C167" t="s">
        <v>591</v>
      </c>
      <c r="D167" t="s">
        <v>1065</v>
      </c>
      <c r="E167" t="s">
        <v>119</v>
      </c>
      <c r="F167">
        <v>1</v>
      </c>
      <c r="G167" t="s">
        <v>539</v>
      </c>
      <c r="H167" t="s">
        <v>1066</v>
      </c>
      <c r="I167" t="s">
        <v>748</v>
      </c>
      <c r="J167" t="s">
        <v>542</v>
      </c>
      <c r="K167">
        <v>3360</v>
      </c>
      <c r="L167">
        <v>400</v>
      </c>
      <c r="M167" t="s">
        <v>543</v>
      </c>
      <c r="N167" t="s">
        <v>544</v>
      </c>
      <c r="O167">
        <v>99.94</v>
      </c>
      <c r="P167">
        <v>3760</v>
      </c>
      <c r="R167" t="s">
        <v>1067</v>
      </c>
      <c r="S167">
        <v>2</v>
      </c>
      <c r="T167" t="s">
        <v>837</v>
      </c>
      <c r="U167" t="s">
        <v>547</v>
      </c>
      <c r="V167">
        <v>1680</v>
      </c>
      <c r="W167">
        <v>1680</v>
      </c>
      <c r="Z167" t="s">
        <v>838</v>
      </c>
      <c r="AA167" t="s">
        <v>549</v>
      </c>
      <c r="AB167" t="s">
        <v>748</v>
      </c>
      <c r="AC167" t="s">
        <v>550</v>
      </c>
      <c r="AD167" t="s">
        <v>551</v>
      </c>
      <c r="AE167" t="s">
        <v>1068</v>
      </c>
      <c r="AF167" t="s">
        <v>1069</v>
      </c>
      <c r="AG167" t="s">
        <v>1070</v>
      </c>
      <c r="AI167" t="s">
        <v>601</v>
      </c>
      <c r="AJ167" t="s">
        <v>1071</v>
      </c>
      <c r="AK167" t="s">
        <v>556</v>
      </c>
      <c r="AM167" t="s">
        <v>1072</v>
      </c>
      <c r="AN167" t="s">
        <v>558</v>
      </c>
      <c r="AO167" t="s">
        <v>118</v>
      </c>
      <c r="AP167" t="s">
        <v>549</v>
      </c>
      <c r="AQ167" t="s">
        <v>549</v>
      </c>
      <c r="AR167" t="s">
        <v>1073</v>
      </c>
      <c r="AS167" t="s">
        <v>1068</v>
      </c>
      <c r="AT167" t="s">
        <v>1069</v>
      </c>
      <c r="AU167" t="s">
        <v>1070</v>
      </c>
      <c r="AW167" t="s">
        <v>601</v>
      </c>
      <c r="AX167" t="s">
        <v>1071</v>
      </c>
      <c r="AY167" t="s">
        <v>556</v>
      </c>
      <c r="BA167" t="s">
        <v>1072</v>
      </c>
      <c r="BB167" t="s">
        <v>558</v>
      </c>
      <c r="BC167" t="s">
        <v>118</v>
      </c>
      <c r="BD167" t="s">
        <v>1073</v>
      </c>
      <c r="BH167" t="s">
        <v>560</v>
      </c>
      <c r="BI167" t="s">
        <v>561</v>
      </c>
      <c r="BK167" t="s">
        <v>607</v>
      </c>
      <c r="BL167" t="s">
        <v>562</v>
      </c>
      <c r="BM167" t="s">
        <v>1074</v>
      </c>
      <c r="BN167">
        <v>1</v>
      </c>
      <c r="BO167">
        <v>33.270000000000003</v>
      </c>
      <c r="BP167">
        <v>20</v>
      </c>
      <c r="BQ167">
        <v>66.67</v>
      </c>
      <c r="BR167" t="s">
        <v>549</v>
      </c>
    </row>
    <row r="168" spans="1:70">
      <c r="A168" t="s">
        <v>1075</v>
      </c>
      <c r="B168" t="s">
        <v>207</v>
      </c>
      <c r="C168" t="s">
        <v>1076</v>
      </c>
      <c r="D168" t="s">
        <v>1077</v>
      </c>
      <c r="E168" t="s">
        <v>209</v>
      </c>
      <c r="F168">
        <v>2</v>
      </c>
      <c r="G168" t="s">
        <v>539</v>
      </c>
      <c r="H168" t="s">
        <v>1078</v>
      </c>
      <c r="I168" t="s">
        <v>748</v>
      </c>
      <c r="J168" t="s">
        <v>542</v>
      </c>
      <c r="K168">
        <v>6064.8</v>
      </c>
      <c r="L168">
        <v>400</v>
      </c>
      <c r="M168" t="s">
        <v>543</v>
      </c>
      <c r="N168" t="s">
        <v>544</v>
      </c>
      <c r="O168">
        <v>126.72</v>
      </c>
      <c r="P168">
        <v>6464.8</v>
      </c>
      <c r="R168" t="s">
        <v>1079</v>
      </c>
      <c r="S168">
        <v>2</v>
      </c>
      <c r="T168" t="s">
        <v>659</v>
      </c>
      <c r="U168" t="s">
        <v>547</v>
      </c>
      <c r="V168">
        <v>3032.4</v>
      </c>
      <c r="W168">
        <v>3032.4</v>
      </c>
      <c r="Z168" t="s">
        <v>660</v>
      </c>
      <c r="AA168" t="s">
        <v>549</v>
      </c>
      <c r="AB168" t="s">
        <v>748</v>
      </c>
      <c r="AC168" t="s">
        <v>550</v>
      </c>
      <c r="AD168" t="s">
        <v>551</v>
      </c>
      <c r="AE168" t="s">
        <v>1080</v>
      </c>
      <c r="AF168" t="s">
        <v>1081</v>
      </c>
      <c r="AG168" t="s">
        <v>1082</v>
      </c>
      <c r="AI168" t="s">
        <v>577</v>
      </c>
      <c r="AJ168" t="s">
        <v>1083</v>
      </c>
      <c r="AK168" t="s">
        <v>556</v>
      </c>
      <c r="AM168" t="s">
        <v>579</v>
      </c>
      <c r="AN168" t="s">
        <v>558</v>
      </c>
      <c r="AO168" t="s">
        <v>208</v>
      </c>
      <c r="AP168" t="s">
        <v>549</v>
      </c>
      <c r="AQ168" t="s">
        <v>549</v>
      </c>
      <c r="AR168" t="s">
        <v>1084</v>
      </c>
      <c r="AS168" t="s">
        <v>1080</v>
      </c>
      <c r="AT168" t="s">
        <v>1081</v>
      </c>
      <c r="AU168" t="s">
        <v>1082</v>
      </c>
      <c r="AW168" t="s">
        <v>577</v>
      </c>
      <c r="AX168" t="s">
        <v>1083</v>
      </c>
      <c r="AY168" t="s">
        <v>556</v>
      </c>
      <c r="BA168" t="s">
        <v>579</v>
      </c>
      <c r="BB168" t="s">
        <v>558</v>
      </c>
      <c r="BC168" t="s">
        <v>208</v>
      </c>
      <c r="BD168" t="s">
        <v>1084</v>
      </c>
      <c r="BH168" t="s">
        <v>560</v>
      </c>
      <c r="BI168" t="s">
        <v>561</v>
      </c>
      <c r="BK168" t="s">
        <v>607</v>
      </c>
      <c r="BL168" t="s">
        <v>562</v>
      </c>
      <c r="BM168" t="s">
        <v>1085</v>
      </c>
      <c r="BN168">
        <v>1</v>
      </c>
      <c r="BO168">
        <v>60.05</v>
      </c>
      <c r="BP168">
        <v>20</v>
      </c>
      <c r="BQ168">
        <v>66.67</v>
      </c>
      <c r="BR168" t="s">
        <v>549</v>
      </c>
    </row>
    <row r="169" spans="1:70">
      <c r="A169" t="s">
        <v>1086</v>
      </c>
      <c r="B169" t="s">
        <v>213</v>
      </c>
      <c r="C169" t="s">
        <v>1087</v>
      </c>
      <c r="D169" t="s">
        <v>1088</v>
      </c>
      <c r="E169" t="s">
        <v>215</v>
      </c>
      <c r="F169">
        <v>1</v>
      </c>
      <c r="G169" t="s">
        <v>539</v>
      </c>
      <c r="H169" t="s">
        <v>1089</v>
      </c>
      <c r="I169" t="s">
        <v>748</v>
      </c>
      <c r="J169" t="s">
        <v>542</v>
      </c>
      <c r="K169">
        <v>7623</v>
      </c>
      <c r="L169">
        <v>400</v>
      </c>
      <c r="M169" t="s">
        <v>543</v>
      </c>
      <c r="N169" t="s">
        <v>544</v>
      </c>
      <c r="O169">
        <v>142.15</v>
      </c>
      <c r="P169">
        <v>8023</v>
      </c>
      <c r="R169" t="s">
        <v>1090</v>
      </c>
      <c r="S169">
        <v>1</v>
      </c>
      <c r="T169" t="s">
        <v>564</v>
      </c>
      <c r="U169" t="s">
        <v>547</v>
      </c>
      <c r="V169">
        <v>2646</v>
      </c>
      <c r="W169">
        <v>2646</v>
      </c>
      <c r="Z169" t="s">
        <v>565</v>
      </c>
      <c r="AA169" t="s">
        <v>549</v>
      </c>
      <c r="AB169" t="s">
        <v>748</v>
      </c>
      <c r="AC169" t="s">
        <v>550</v>
      </c>
      <c r="AD169" t="s">
        <v>551</v>
      </c>
      <c r="AE169" t="s">
        <v>1091</v>
      </c>
      <c r="AF169" t="s">
        <v>1092</v>
      </c>
      <c r="AI169" t="s">
        <v>601</v>
      </c>
      <c r="AJ169" t="s">
        <v>602</v>
      </c>
      <c r="AK169" t="s">
        <v>556</v>
      </c>
      <c r="AM169" t="s">
        <v>754</v>
      </c>
      <c r="AN169" t="s">
        <v>558</v>
      </c>
      <c r="AO169" t="s">
        <v>1093</v>
      </c>
      <c r="AP169" t="s">
        <v>549</v>
      </c>
      <c r="AQ169" t="s">
        <v>549</v>
      </c>
      <c r="AR169" t="s">
        <v>1094</v>
      </c>
      <c r="AS169" t="s">
        <v>1095</v>
      </c>
      <c r="AT169" t="s">
        <v>1096</v>
      </c>
      <c r="AW169" t="s">
        <v>1097</v>
      </c>
      <c r="AX169" t="s">
        <v>1098</v>
      </c>
      <c r="AY169" t="s">
        <v>556</v>
      </c>
      <c r="BA169" t="s">
        <v>1099</v>
      </c>
      <c r="BB169" t="s">
        <v>558</v>
      </c>
      <c r="BC169" t="s">
        <v>214</v>
      </c>
      <c r="BD169" t="s">
        <v>1100</v>
      </c>
      <c r="BH169" t="s">
        <v>560</v>
      </c>
      <c r="BI169" t="s">
        <v>561</v>
      </c>
      <c r="BK169" t="s">
        <v>607</v>
      </c>
      <c r="BL169" t="s">
        <v>562</v>
      </c>
      <c r="BM169" t="s">
        <v>1101</v>
      </c>
      <c r="BN169">
        <v>1</v>
      </c>
      <c r="BO169">
        <v>75.48</v>
      </c>
      <c r="BP169">
        <v>20</v>
      </c>
      <c r="BQ169">
        <v>66.67</v>
      </c>
      <c r="BR169" t="s">
        <v>549</v>
      </c>
    </row>
    <row r="170" spans="1:70">
      <c r="A170" t="s">
        <v>1086</v>
      </c>
      <c r="B170" t="s">
        <v>213</v>
      </c>
      <c r="C170" t="s">
        <v>1087</v>
      </c>
      <c r="D170" t="s">
        <v>1088</v>
      </c>
      <c r="E170" t="s">
        <v>215</v>
      </c>
      <c r="F170">
        <v>1</v>
      </c>
      <c r="H170" t="s">
        <v>1089</v>
      </c>
      <c r="R170" t="s">
        <v>1090</v>
      </c>
      <c r="S170">
        <v>1</v>
      </c>
      <c r="T170" t="s">
        <v>1033</v>
      </c>
      <c r="U170" t="s">
        <v>547</v>
      </c>
      <c r="V170">
        <v>3087</v>
      </c>
      <c r="W170">
        <v>3087</v>
      </c>
      <c r="Z170" t="s">
        <v>1034</v>
      </c>
      <c r="AA170" t="s">
        <v>549</v>
      </c>
      <c r="AB170" t="s">
        <v>748</v>
      </c>
      <c r="AC170" t="s">
        <v>550</v>
      </c>
      <c r="AD170" t="s">
        <v>551</v>
      </c>
      <c r="BR170" t="s">
        <v>549</v>
      </c>
    </row>
    <row r="171" spans="1:70">
      <c r="A171" t="s">
        <v>1086</v>
      </c>
      <c r="B171" t="s">
        <v>213</v>
      </c>
      <c r="C171" t="s">
        <v>1087</v>
      </c>
      <c r="D171" t="s">
        <v>1088</v>
      </c>
      <c r="E171" t="s">
        <v>215</v>
      </c>
      <c r="F171">
        <v>1</v>
      </c>
      <c r="H171" t="s">
        <v>1089</v>
      </c>
      <c r="R171" t="s">
        <v>1090</v>
      </c>
      <c r="S171">
        <v>1</v>
      </c>
      <c r="T171" t="s">
        <v>921</v>
      </c>
      <c r="U171" t="s">
        <v>547</v>
      </c>
      <c r="V171">
        <v>1890</v>
      </c>
      <c r="W171">
        <v>1890</v>
      </c>
      <c r="Z171" t="s">
        <v>922</v>
      </c>
      <c r="AA171" t="s">
        <v>549</v>
      </c>
      <c r="AB171" t="s">
        <v>748</v>
      </c>
      <c r="AC171" t="s">
        <v>550</v>
      </c>
      <c r="AD171" t="s">
        <v>551</v>
      </c>
      <c r="BR171" t="s">
        <v>549</v>
      </c>
    </row>
    <row r="172" spans="1:70">
      <c r="A172" t="s">
        <v>1102</v>
      </c>
      <c r="B172" t="s">
        <v>289</v>
      </c>
      <c r="C172" t="s">
        <v>1103</v>
      </c>
      <c r="D172" t="s">
        <v>1104</v>
      </c>
      <c r="E172" t="s">
        <v>291</v>
      </c>
      <c r="F172">
        <v>1</v>
      </c>
      <c r="G172" t="s">
        <v>539</v>
      </c>
      <c r="H172" t="s">
        <v>1105</v>
      </c>
      <c r="I172" t="s">
        <v>748</v>
      </c>
      <c r="J172" t="s">
        <v>542</v>
      </c>
      <c r="K172">
        <v>3032.4</v>
      </c>
      <c r="L172">
        <v>400</v>
      </c>
      <c r="M172" t="s">
        <v>543</v>
      </c>
      <c r="N172" t="s">
        <v>544</v>
      </c>
      <c r="O172">
        <v>96.69</v>
      </c>
      <c r="P172">
        <v>3432.4</v>
      </c>
      <c r="R172" t="s">
        <v>1106</v>
      </c>
      <c r="S172">
        <v>1</v>
      </c>
      <c r="T172" t="s">
        <v>659</v>
      </c>
      <c r="U172" t="s">
        <v>547</v>
      </c>
      <c r="V172">
        <v>3032.4</v>
      </c>
      <c r="W172">
        <v>3032.4</v>
      </c>
      <c r="Z172" t="s">
        <v>660</v>
      </c>
      <c r="AA172" t="s">
        <v>549</v>
      </c>
      <c r="AB172" t="s">
        <v>748</v>
      </c>
      <c r="AC172" t="s">
        <v>550</v>
      </c>
      <c r="AD172" t="s">
        <v>551</v>
      </c>
      <c r="AE172" t="s">
        <v>1107</v>
      </c>
      <c r="AF172" t="s">
        <v>1108</v>
      </c>
      <c r="AH172" t="s">
        <v>1109</v>
      </c>
      <c r="AI172" t="s">
        <v>577</v>
      </c>
      <c r="AJ172" t="s">
        <v>1110</v>
      </c>
      <c r="AK172" t="s">
        <v>556</v>
      </c>
      <c r="AM172" t="s">
        <v>1111</v>
      </c>
      <c r="AN172" t="s">
        <v>558</v>
      </c>
      <c r="AO172" t="s">
        <v>290</v>
      </c>
      <c r="AP172" t="s">
        <v>1112</v>
      </c>
      <c r="AQ172" t="s">
        <v>1111</v>
      </c>
      <c r="AR172" t="s">
        <v>1113</v>
      </c>
      <c r="AS172" t="s">
        <v>1107</v>
      </c>
      <c r="AT172" t="s">
        <v>1108</v>
      </c>
      <c r="AV172" t="s">
        <v>1109</v>
      </c>
      <c r="AW172" t="s">
        <v>577</v>
      </c>
      <c r="AX172" t="s">
        <v>1110</v>
      </c>
      <c r="AY172" t="s">
        <v>556</v>
      </c>
      <c r="BA172" t="s">
        <v>1111</v>
      </c>
      <c r="BB172" t="s">
        <v>558</v>
      </c>
      <c r="BC172" t="s">
        <v>290</v>
      </c>
      <c r="BD172" t="s">
        <v>1113</v>
      </c>
      <c r="BH172" t="s">
        <v>560</v>
      </c>
      <c r="BI172" t="s">
        <v>561</v>
      </c>
      <c r="BK172" t="s">
        <v>607</v>
      </c>
      <c r="BL172" t="s">
        <v>562</v>
      </c>
      <c r="BM172" t="s">
        <v>1114</v>
      </c>
      <c r="BN172">
        <v>1</v>
      </c>
      <c r="BO172">
        <v>30.02</v>
      </c>
      <c r="BP172">
        <v>20</v>
      </c>
      <c r="BQ172">
        <v>66.67</v>
      </c>
      <c r="BR172" t="s">
        <v>549</v>
      </c>
    </row>
    <row r="173" spans="1:70">
      <c r="A173" t="s">
        <v>1115</v>
      </c>
      <c r="B173" t="s">
        <v>98</v>
      </c>
      <c r="C173" t="s">
        <v>1116</v>
      </c>
      <c r="D173" t="s">
        <v>635</v>
      </c>
      <c r="E173" t="s">
        <v>100</v>
      </c>
      <c r="F173">
        <v>1</v>
      </c>
      <c r="G173" t="s">
        <v>539</v>
      </c>
      <c r="H173" t="s">
        <v>1117</v>
      </c>
      <c r="I173" t="s">
        <v>748</v>
      </c>
      <c r="J173" t="s">
        <v>542</v>
      </c>
      <c r="K173">
        <v>5334</v>
      </c>
      <c r="L173">
        <v>400</v>
      </c>
      <c r="M173" t="s">
        <v>543</v>
      </c>
      <c r="N173" t="s">
        <v>544</v>
      </c>
      <c r="O173">
        <v>119.48</v>
      </c>
      <c r="P173">
        <v>5734</v>
      </c>
      <c r="R173" t="s">
        <v>1118</v>
      </c>
      <c r="S173">
        <v>4</v>
      </c>
      <c r="T173" t="s">
        <v>818</v>
      </c>
      <c r="U173" t="s">
        <v>547</v>
      </c>
      <c r="V173">
        <v>806.4</v>
      </c>
      <c r="W173">
        <v>806.4</v>
      </c>
      <c r="Z173" t="s">
        <v>819</v>
      </c>
      <c r="AA173" t="s">
        <v>549</v>
      </c>
      <c r="AB173" t="s">
        <v>748</v>
      </c>
      <c r="AC173" t="s">
        <v>550</v>
      </c>
      <c r="AD173" t="s">
        <v>551</v>
      </c>
      <c r="AE173" t="s">
        <v>146</v>
      </c>
      <c r="AF173" t="s">
        <v>1119</v>
      </c>
      <c r="AI173" t="s">
        <v>577</v>
      </c>
      <c r="AJ173" t="s">
        <v>1120</v>
      </c>
      <c r="AK173" t="s">
        <v>556</v>
      </c>
      <c r="AM173" t="s">
        <v>1121</v>
      </c>
      <c r="AN173" t="s">
        <v>558</v>
      </c>
      <c r="AO173" t="s">
        <v>99</v>
      </c>
      <c r="AP173" t="s">
        <v>549</v>
      </c>
      <c r="AQ173" t="s">
        <v>549</v>
      </c>
      <c r="AR173" t="s">
        <v>549</v>
      </c>
      <c r="AS173" t="s">
        <v>146</v>
      </c>
      <c r="AT173" t="s">
        <v>1119</v>
      </c>
      <c r="AW173" t="s">
        <v>577</v>
      </c>
      <c r="AX173" t="s">
        <v>1120</v>
      </c>
      <c r="AY173" t="s">
        <v>556</v>
      </c>
      <c r="BA173" t="s">
        <v>1121</v>
      </c>
      <c r="BB173" t="s">
        <v>558</v>
      </c>
      <c r="BC173" t="s">
        <v>99</v>
      </c>
      <c r="BD173" t="s">
        <v>549</v>
      </c>
      <c r="BH173" t="s">
        <v>560</v>
      </c>
      <c r="BI173" t="s">
        <v>561</v>
      </c>
      <c r="BK173" t="s">
        <v>607</v>
      </c>
      <c r="BL173" t="s">
        <v>562</v>
      </c>
      <c r="BM173" t="s">
        <v>1122</v>
      </c>
      <c r="BN173">
        <v>1</v>
      </c>
      <c r="BO173">
        <v>52.81</v>
      </c>
      <c r="BP173">
        <v>20</v>
      </c>
      <c r="BQ173">
        <v>66.67</v>
      </c>
      <c r="BR173" t="s">
        <v>549</v>
      </c>
    </row>
    <row r="174" spans="1:70">
      <c r="A174" t="s">
        <v>1115</v>
      </c>
      <c r="B174" t="s">
        <v>98</v>
      </c>
      <c r="C174" t="s">
        <v>1116</v>
      </c>
      <c r="D174" t="s">
        <v>635</v>
      </c>
      <c r="E174" t="s">
        <v>100</v>
      </c>
      <c r="F174">
        <v>1</v>
      </c>
      <c r="H174" t="s">
        <v>1117</v>
      </c>
      <c r="R174" t="s">
        <v>1118</v>
      </c>
      <c r="S174">
        <v>3</v>
      </c>
      <c r="T174" t="s">
        <v>946</v>
      </c>
      <c r="U174" t="s">
        <v>547</v>
      </c>
      <c r="V174">
        <v>702.8</v>
      </c>
      <c r="W174">
        <v>702.8</v>
      </c>
      <c r="Z174" t="s">
        <v>947</v>
      </c>
      <c r="AA174" t="s">
        <v>549</v>
      </c>
      <c r="AB174" t="s">
        <v>748</v>
      </c>
      <c r="AC174" t="s">
        <v>550</v>
      </c>
      <c r="AD174" t="s">
        <v>551</v>
      </c>
      <c r="BR174" t="s">
        <v>549</v>
      </c>
    </row>
    <row r="175" spans="1:70">
      <c r="A175" t="s">
        <v>1123</v>
      </c>
      <c r="B175" t="s">
        <v>114</v>
      </c>
      <c r="C175" t="s">
        <v>770</v>
      </c>
      <c r="D175" t="s">
        <v>771</v>
      </c>
      <c r="E175" t="s">
        <v>135</v>
      </c>
      <c r="F175">
        <v>3</v>
      </c>
      <c r="G175" t="s">
        <v>539</v>
      </c>
      <c r="H175" t="s">
        <v>1124</v>
      </c>
      <c r="I175" t="s">
        <v>748</v>
      </c>
      <c r="J175" t="s">
        <v>542</v>
      </c>
      <c r="K175">
        <v>52458</v>
      </c>
      <c r="L175">
        <v>0</v>
      </c>
      <c r="M175" t="s">
        <v>570</v>
      </c>
      <c r="N175" t="s">
        <v>544</v>
      </c>
      <c r="O175">
        <v>519.39</v>
      </c>
      <c r="P175">
        <v>52458</v>
      </c>
      <c r="R175" t="s">
        <v>1125</v>
      </c>
      <c r="S175">
        <v>4</v>
      </c>
      <c r="T175" t="s">
        <v>588</v>
      </c>
      <c r="U175" t="s">
        <v>547</v>
      </c>
      <c r="V175">
        <v>4788</v>
      </c>
      <c r="W175">
        <v>4788</v>
      </c>
      <c r="Z175" t="s">
        <v>589</v>
      </c>
      <c r="AA175" t="s">
        <v>549</v>
      </c>
      <c r="AB175" t="s">
        <v>748</v>
      </c>
      <c r="AC175" t="s">
        <v>550</v>
      </c>
      <c r="AD175" t="s">
        <v>551</v>
      </c>
      <c r="AE175" t="s">
        <v>114</v>
      </c>
      <c r="AF175" t="s">
        <v>774</v>
      </c>
      <c r="AG175" t="s">
        <v>775</v>
      </c>
      <c r="AH175" t="s">
        <v>114</v>
      </c>
      <c r="AI175" t="s">
        <v>688</v>
      </c>
      <c r="AJ175" t="s">
        <v>776</v>
      </c>
      <c r="AK175" t="s">
        <v>556</v>
      </c>
      <c r="AM175" t="s">
        <v>777</v>
      </c>
      <c r="AN175" t="s">
        <v>558</v>
      </c>
      <c r="AO175" t="s">
        <v>115</v>
      </c>
      <c r="AP175" t="s">
        <v>778</v>
      </c>
      <c r="AQ175" t="s">
        <v>777</v>
      </c>
      <c r="AR175" t="s">
        <v>778</v>
      </c>
      <c r="AS175" t="s">
        <v>114</v>
      </c>
      <c r="AT175" t="s">
        <v>774</v>
      </c>
      <c r="AU175" t="s">
        <v>775</v>
      </c>
      <c r="AV175" t="s">
        <v>114</v>
      </c>
      <c r="AW175" t="s">
        <v>688</v>
      </c>
      <c r="AX175" t="s">
        <v>776</v>
      </c>
      <c r="AY175" t="s">
        <v>556</v>
      </c>
      <c r="BA175" t="s">
        <v>777</v>
      </c>
      <c r="BB175" t="s">
        <v>558</v>
      </c>
      <c r="BC175" t="s">
        <v>115</v>
      </c>
      <c r="BD175" t="s">
        <v>778</v>
      </c>
      <c r="BH175" t="s">
        <v>560</v>
      </c>
      <c r="BI175" t="s">
        <v>561</v>
      </c>
      <c r="BK175" t="s">
        <v>607</v>
      </c>
      <c r="BL175" t="s">
        <v>562</v>
      </c>
      <c r="BM175" t="s">
        <v>1126</v>
      </c>
      <c r="BN175">
        <v>1</v>
      </c>
      <c r="BO175">
        <v>519.39</v>
      </c>
      <c r="BR175" t="s">
        <v>549</v>
      </c>
    </row>
    <row r="176" spans="1:70">
      <c r="A176" t="s">
        <v>1123</v>
      </c>
      <c r="B176" t="s">
        <v>114</v>
      </c>
      <c r="C176" t="s">
        <v>770</v>
      </c>
      <c r="D176" t="s">
        <v>771</v>
      </c>
      <c r="E176" t="s">
        <v>135</v>
      </c>
      <c r="F176">
        <v>3</v>
      </c>
      <c r="H176" t="s">
        <v>1124</v>
      </c>
      <c r="R176" t="s">
        <v>1125</v>
      </c>
      <c r="S176">
        <v>1</v>
      </c>
      <c r="T176" t="s">
        <v>649</v>
      </c>
      <c r="U176" t="s">
        <v>547</v>
      </c>
      <c r="V176">
        <v>4536</v>
      </c>
      <c r="W176">
        <v>4536</v>
      </c>
      <c r="Z176" t="s">
        <v>650</v>
      </c>
      <c r="AA176" t="s">
        <v>549</v>
      </c>
      <c r="AB176" t="s">
        <v>748</v>
      </c>
      <c r="AC176" t="s">
        <v>550</v>
      </c>
      <c r="AD176" t="s">
        <v>551</v>
      </c>
      <c r="BR176" t="s">
        <v>549</v>
      </c>
    </row>
    <row r="177" spans="1:70">
      <c r="A177" t="s">
        <v>1123</v>
      </c>
      <c r="B177" t="s">
        <v>114</v>
      </c>
      <c r="C177" t="s">
        <v>770</v>
      </c>
      <c r="D177" t="s">
        <v>771</v>
      </c>
      <c r="E177" t="s">
        <v>135</v>
      </c>
      <c r="F177">
        <v>3</v>
      </c>
      <c r="H177" t="s">
        <v>1124</v>
      </c>
      <c r="R177" t="s">
        <v>1125</v>
      </c>
      <c r="S177">
        <v>1</v>
      </c>
      <c r="T177" t="s">
        <v>584</v>
      </c>
      <c r="U177" t="s">
        <v>547</v>
      </c>
      <c r="V177">
        <v>3040.8</v>
      </c>
      <c r="W177">
        <v>3040.8</v>
      </c>
      <c r="Z177" t="s">
        <v>585</v>
      </c>
      <c r="AA177" t="s">
        <v>549</v>
      </c>
      <c r="AB177" t="s">
        <v>748</v>
      </c>
      <c r="AC177" t="s">
        <v>550</v>
      </c>
      <c r="AD177" t="s">
        <v>551</v>
      </c>
      <c r="BR177" t="s">
        <v>549</v>
      </c>
    </row>
    <row r="178" spans="1:70">
      <c r="A178" t="s">
        <v>1123</v>
      </c>
      <c r="B178" t="s">
        <v>114</v>
      </c>
      <c r="C178" t="s">
        <v>770</v>
      </c>
      <c r="D178" t="s">
        <v>771</v>
      </c>
      <c r="E178" t="s">
        <v>135</v>
      </c>
      <c r="F178">
        <v>3</v>
      </c>
      <c r="H178" t="s">
        <v>1124</v>
      </c>
      <c r="R178" t="s">
        <v>1125</v>
      </c>
      <c r="S178">
        <v>1</v>
      </c>
      <c r="T178" t="s">
        <v>729</v>
      </c>
      <c r="U178" t="s">
        <v>547</v>
      </c>
      <c r="V178">
        <v>5737.2</v>
      </c>
      <c r="W178">
        <v>5737.2</v>
      </c>
      <c r="Z178" t="s">
        <v>730</v>
      </c>
      <c r="AA178" t="s">
        <v>549</v>
      </c>
      <c r="AB178" t="s">
        <v>748</v>
      </c>
      <c r="AC178" t="s">
        <v>550</v>
      </c>
      <c r="AD178" t="s">
        <v>551</v>
      </c>
      <c r="BR178" t="s">
        <v>549</v>
      </c>
    </row>
    <row r="179" spans="1:70">
      <c r="A179" t="s">
        <v>1123</v>
      </c>
      <c r="B179" t="s">
        <v>114</v>
      </c>
      <c r="C179" t="s">
        <v>770</v>
      </c>
      <c r="D179" t="s">
        <v>771</v>
      </c>
      <c r="E179" t="s">
        <v>135</v>
      </c>
      <c r="F179">
        <v>3</v>
      </c>
      <c r="H179" t="s">
        <v>1124</v>
      </c>
      <c r="R179" t="s">
        <v>1125</v>
      </c>
      <c r="S179">
        <v>4</v>
      </c>
      <c r="T179" t="s">
        <v>586</v>
      </c>
      <c r="U179" t="s">
        <v>547</v>
      </c>
      <c r="V179">
        <v>4998</v>
      </c>
      <c r="W179">
        <v>4998</v>
      </c>
      <c r="Z179" t="s">
        <v>587</v>
      </c>
      <c r="AA179" t="s">
        <v>549</v>
      </c>
      <c r="AB179" t="s">
        <v>748</v>
      </c>
      <c r="AC179" t="s">
        <v>550</v>
      </c>
      <c r="AD179" t="s">
        <v>551</v>
      </c>
      <c r="BR179" t="s">
        <v>549</v>
      </c>
    </row>
    <row r="180" spans="1:70">
      <c r="A180" t="s">
        <v>1127</v>
      </c>
      <c r="B180" t="s">
        <v>72</v>
      </c>
      <c r="C180" t="s">
        <v>849</v>
      </c>
      <c r="D180" t="s">
        <v>850</v>
      </c>
      <c r="E180" t="s">
        <v>74</v>
      </c>
      <c r="F180">
        <v>1</v>
      </c>
      <c r="G180" t="s">
        <v>539</v>
      </c>
      <c r="H180" t="s">
        <v>1128</v>
      </c>
      <c r="I180" t="s">
        <v>748</v>
      </c>
      <c r="J180" t="s">
        <v>542</v>
      </c>
      <c r="K180">
        <v>14128.8</v>
      </c>
      <c r="L180">
        <v>200</v>
      </c>
      <c r="M180" t="s">
        <v>543</v>
      </c>
      <c r="N180" t="s">
        <v>544</v>
      </c>
      <c r="O180">
        <v>173.22</v>
      </c>
      <c r="P180">
        <v>14328.8</v>
      </c>
      <c r="R180" t="s">
        <v>1129</v>
      </c>
      <c r="S180">
        <v>1</v>
      </c>
      <c r="T180" t="s">
        <v>595</v>
      </c>
      <c r="U180" t="s">
        <v>547</v>
      </c>
      <c r="V180">
        <v>6854.4</v>
      </c>
      <c r="W180">
        <v>6854.4</v>
      </c>
      <c r="Z180" t="s">
        <v>596</v>
      </c>
      <c r="AA180" t="s">
        <v>549</v>
      </c>
      <c r="AB180" t="s">
        <v>748</v>
      </c>
      <c r="AC180" t="s">
        <v>550</v>
      </c>
      <c r="AD180" t="s">
        <v>551</v>
      </c>
      <c r="AE180" t="s">
        <v>853</v>
      </c>
      <c r="AF180" t="s">
        <v>854</v>
      </c>
      <c r="AG180" t="s">
        <v>855</v>
      </c>
      <c r="AH180" t="s">
        <v>856</v>
      </c>
      <c r="AI180" t="s">
        <v>577</v>
      </c>
      <c r="AJ180" t="s">
        <v>857</v>
      </c>
      <c r="AK180" t="s">
        <v>556</v>
      </c>
      <c r="AM180" t="s">
        <v>858</v>
      </c>
      <c r="AN180" t="s">
        <v>558</v>
      </c>
      <c r="AO180" t="s">
        <v>73</v>
      </c>
      <c r="AP180" t="s">
        <v>859</v>
      </c>
      <c r="AQ180" t="s">
        <v>858</v>
      </c>
      <c r="AR180" t="s">
        <v>860</v>
      </c>
      <c r="AS180" t="s">
        <v>72</v>
      </c>
      <c r="AT180" t="s">
        <v>1130</v>
      </c>
      <c r="AU180" t="s">
        <v>1131</v>
      </c>
      <c r="AV180" t="s">
        <v>856</v>
      </c>
      <c r="AW180" t="s">
        <v>577</v>
      </c>
      <c r="AX180" t="s">
        <v>1132</v>
      </c>
      <c r="AY180" t="s">
        <v>556</v>
      </c>
      <c r="BA180" t="s">
        <v>579</v>
      </c>
      <c r="BB180" t="s">
        <v>558</v>
      </c>
      <c r="BC180" t="s">
        <v>73</v>
      </c>
      <c r="BD180" t="s">
        <v>1133</v>
      </c>
      <c r="BH180" t="s">
        <v>560</v>
      </c>
      <c r="BI180" t="s">
        <v>561</v>
      </c>
      <c r="BK180" t="s">
        <v>607</v>
      </c>
      <c r="BL180" t="s">
        <v>562</v>
      </c>
      <c r="BM180" t="s">
        <v>1134</v>
      </c>
      <c r="BN180">
        <v>1</v>
      </c>
      <c r="BO180">
        <v>139.88999999999999</v>
      </c>
      <c r="BP180">
        <v>20</v>
      </c>
      <c r="BQ180">
        <v>33.33</v>
      </c>
      <c r="BR180" t="s">
        <v>549</v>
      </c>
    </row>
    <row r="181" spans="1:70">
      <c r="A181" t="s">
        <v>1127</v>
      </c>
      <c r="B181" t="s">
        <v>72</v>
      </c>
      <c r="C181" t="s">
        <v>849</v>
      </c>
      <c r="D181" t="s">
        <v>850</v>
      </c>
      <c r="E181" t="s">
        <v>74</v>
      </c>
      <c r="F181">
        <v>1</v>
      </c>
      <c r="H181" t="s">
        <v>1128</v>
      </c>
      <c r="R181" t="s">
        <v>1129</v>
      </c>
      <c r="S181">
        <v>1</v>
      </c>
      <c r="T181" t="s">
        <v>588</v>
      </c>
      <c r="U181" t="s">
        <v>547</v>
      </c>
      <c r="V181">
        <v>4788</v>
      </c>
      <c r="W181">
        <v>4788</v>
      </c>
      <c r="Z181" t="s">
        <v>589</v>
      </c>
      <c r="AA181" t="s">
        <v>549</v>
      </c>
      <c r="AB181" t="s">
        <v>748</v>
      </c>
      <c r="AC181" t="s">
        <v>550</v>
      </c>
      <c r="AD181" t="s">
        <v>551</v>
      </c>
      <c r="BR181" t="s">
        <v>549</v>
      </c>
    </row>
    <row r="182" spans="1:70">
      <c r="A182" t="s">
        <v>1127</v>
      </c>
      <c r="B182" t="s">
        <v>72</v>
      </c>
      <c r="C182" t="s">
        <v>849</v>
      </c>
      <c r="D182" t="s">
        <v>850</v>
      </c>
      <c r="E182" t="s">
        <v>74</v>
      </c>
      <c r="F182">
        <v>1</v>
      </c>
      <c r="H182" t="s">
        <v>1128</v>
      </c>
      <c r="R182" t="s">
        <v>1129</v>
      </c>
      <c r="S182">
        <v>1</v>
      </c>
      <c r="T182" t="s">
        <v>818</v>
      </c>
      <c r="U182" t="s">
        <v>547</v>
      </c>
      <c r="V182">
        <v>806.4</v>
      </c>
      <c r="W182">
        <v>806.4</v>
      </c>
      <c r="Z182" t="s">
        <v>819</v>
      </c>
      <c r="AA182" t="s">
        <v>549</v>
      </c>
      <c r="AB182" t="s">
        <v>748</v>
      </c>
      <c r="AC182" t="s">
        <v>550</v>
      </c>
      <c r="AD182" t="s">
        <v>551</v>
      </c>
      <c r="BR182" t="s">
        <v>549</v>
      </c>
    </row>
    <row r="183" spans="1:70">
      <c r="A183" t="s">
        <v>1127</v>
      </c>
      <c r="B183" t="s">
        <v>72</v>
      </c>
      <c r="C183" t="s">
        <v>849</v>
      </c>
      <c r="D183" t="s">
        <v>850</v>
      </c>
      <c r="E183" t="s">
        <v>74</v>
      </c>
      <c r="F183">
        <v>1</v>
      </c>
      <c r="H183" t="s">
        <v>1128</v>
      </c>
      <c r="R183" t="s">
        <v>1129</v>
      </c>
      <c r="S183">
        <v>1</v>
      </c>
      <c r="T183" t="s">
        <v>837</v>
      </c>
      <c r="U183" t="s">
        <v>547</v>
      </c>
      <c r="V183">
        <v>1680</v>
      </c>
      <c r="W183">
        <v>1680</v>
      </c>
      <c r="Z183" t="s">
        <v>838</v>
      </c>
      <c r="AA183" t="s">
        <v>549</v>
      </c>
      <c r="AB183" t="s">
        <v>748</v>
      </c>
      <c r="AC183" t="s">
        <v>550</v>
      </c>
      <c r="AD183" t="s">
        <v>551</v>
      </c>
      <c r="BR183" t="s">
        <v>549</v>
      </c>
    </row>
    <row r="184" spans="1:70">
      <c r="A184" t="s">
        <v>1135</v>
      </c>
      <c r="B184" t="s">
        <v>56</v>
      </c>
      <c r="C184" t="s">
        <v>794</v>
      </c>
      <c r="D184" t="s">
        <v>795</v>
      </c>
      <c r="E184" t="s">
        <v>58</v>
      </c>
      <c r="F184">
        <v>3</v>
      </c>
      <c r="G184" t="s">
        <v>539</v>
      </c>
      <c r="H184" t="s">
        <v>1136</v>
      </c>
      <c r="I184" t="s">
        <v>748</v>
      </c>
      <c r="J184" t="s">
        <v>542</v>
      </c>
      <c r="K184">
        <v>3673.6</v>
      </c>
      <c r="L184">
        <v>400</v>
      </c>
      <c r="M184" t="s">
        <v>543</v>
      </c>
      <c r="N184" t="s">
        <v>544</v>
      </c>
      <c r="O184">
        <v>103.04</v>
      </c>
      <c r="P184">
        <v>4073.6</v>
      </c>
      <c r="R184" t="s">
        <v>1137</v>
      </c>
      <c r="S184">
        <v>1</v>
      </c>
      <c r="T184" t="s">
        <v>799</v>
      </c>
      <c r="U184" t="s">
        <v>547</v>
      </c>
      <c r="V184">
        <v>3673.6</v>
      </c>
      <c r="W184">
        <v>3673.6</v>
      </c>
      <c r="Z184" t="s">
        <v>800</v>
      </c>
      <c r="AA184" t="s">
        <v>549</v>
      </c>
      <c r="AB184" t="s">
        <v>748</v>
      </c>
      <c r="AC184" t="s">
        <v>550</v>
      </c>
      <c r="AD184" t="s">
        <v>551</v>
      </c>
      <c r="AE184" t="s">
        <v>56</v>
      </c>
      <c r="AF184" t="s">
        <v>801</v>
      </c>
      <c r="AG184" t="s">
        <v>802</v>
      </c>
      <c r="AI184" t="s">
        <v>803</v>
      </c>
      <c r="AJ184" t="s">
        <v>804</v>
      </c>
      <c r="AK184" t="s">
        <v>556</v>
      </c>
      <c r="AM184" t="s">
        <v>805</v>
      </c>
      <c r="AN184" t="s">
        <v>558</v>
      </c>
      <c r="AO184" t="s">
        <v>57</v>
      </c>
      <c r="AP184" t="s">
        <v>549</v>
      </c>
      <c r="AQ184" t="s">
        <v>549</v>
      </c>
      <c r="AR184" t="s">
        <v>806</v>
      </c>
      <c r="AS184" t="s">
        <v>56</v>
      </c>
      <c r="AT184" t="s">
        <v>801</v>
      </c>
      <c r="AU184" t="s">
        <v>802</v>
      </c>
      <c r="AW184" t="s">
        <v>803</v>
      </c>
      <c r="AX184" t="s">
        <v>804</v>
      </c>
      <c r="AY184" t="s">
        <v>556</v>
      </c>
      <c r="BA184" t="s">
        <v>805</v>
      </c>
      <c r="BB184" t="s">
        <v>558</v>
      </c>
      <c r="BC184" t="s">
        <v>57</v>
      </c>
      <c r="BD184" t="s">
        <v>806</v>
      </c>
      <c r="BH184" t="s">
        <v>560</v>
      </c>
      <c r="BI184" t="s">
        <v>561</v>
      </c>
      <c r="BK184" t="s">
        <v>607</v>
      </c>
      <c r="BL184" t="s">
        <v>562</v>
      </c>
      <c r="BM184" t="s">
        <v>1138</v>
      </c>
      <c r="BN184">
        <v>1</v>
      </c>
      <c r="BO184">
        <v>36.369999999999997</v>
      </c>
      <c r="BP184">
        <v>20</v>
      </c>
      <c r="BQ184">
        <v>66.67</v>
      </c>
      <c r="BR184" t="s">
        <v>549</v>
      </c>
    </row>
    <row r="185" spans="1:70">
      <c r="A185" t="s">
        <v>1139</v>
      </c>
      <c r="B185" t="s">
        <v>56</v>
      </c>
      <c r="C185" t="s">
        <v>794</v>
      </c>
      <c r="D185" t="s">
        <v>795</v>
      </c>
      <c r="E185" t="s">
        <v>58</v>
      </c>
      <c r="F185">
        <v>2</v>
      </c>
      <c r="G185" t="s">
        <v>1140</v>
      </c>
      <c r="H185" t="s">
        <v>1141</v>
      </c>
      <c r="I185" t="s">
        <v>1142</v>
      </c>
      <c r="J185" t="s">
        <v>542</v>
      </c>
      <c r="K185">
        <v>2646</v>
      </c>
      <c r="L185">
        <v>400</v>
      </c>
      <c r="M185" t="s">
        <v>543</v>
      </c>
      <c r="N185" t="s">
        <v>544</v>
      </c>
      <c r="O185">
        <v>92.87</v>
      </c>
      <c r="P185">
        <v>3046</v>
      </c>
      <c r="R185" t="s">
        <v>1143</v>
      </c>
      <c r="S185">
        <v>1</v>
      </c>
      <c r="T185" t="s">
        <v>933</v>
      </c>
      <c r="U185" t="s">
        <v>547</v>
      </c>
      <c r="V185">
        <v>2646</v>
      </c>
      <c r="W185">
        <v>2646</v>
      </c>
      <c r="Z185" t="s">
        <v>934</v>
      </c>
      <c r="AA185" t="s">
        <v>549</v>
      </c>
      <c r="AB185" t="s">
        <v>1142</v>
      </c>
      <c r="AC185" t="s">
        <v>550</v>
      </c>
      <c r="AD185" t="s">
        <v>551</v>
      </c>
      <c r="AE185" t="s">
        <v>56</v>
      </c>
      <c r="AF185" t="s">
        <v>801</v>
      </c>
      <c r="AG185" t="s">
        <v>802</v>
      </c>
      <c r="AI185" t="s">
        <v>803</v>
      </c>
      <c r="AJ185" t="s">
        <v>804</v>
      </c>
      <c r="AK185" t="s">
        <v>556</v>
      </c>
      <c r="AM185" t="s">
        <v>805</v>
      </c>
      <c r="AN185" t="s">
        <v>558</v>
      </c>
      <c r="AO185" t="s">
        <v>57</v>
      </c>
      <c r="AP185" t="s">
        <v>549</v>
      </c>
      <c r="AQ185" t="s">
        <v>549</v>
      </c>
      <c r="AR185" t="s">
        <v>806</v>
      </c>
      <c r="AS185" t="s">
        <v>56</v>
      </c>
      <c r="AT185" t="s">
        <v>801</v>
      </c>
      <c r="AU185" t="s">
        <v>802</v>
      </c>
      <c r="AW185" t="s">
        <v>803</v>
      </c>
      <c r="AX185" t="s">
        <v>804</v>
      </c>
      <c r="AY185" t="s">
        <v>556</v>
      </c>
      <c r="BA185" t="s">
        <v>805</v>
      </c>
      <c r="BB185" t="s">
        <v>558</v>
      </c>
      <c r="BC185" t="s">
        <v>57</v>
      </c>
      <c r="BD185" t="s">
        <v>806</v>
      </c>
      <c r="BH185" t="s">
        <v>560</v>
      </c>
      <c r="BI185" t="s">
        <v>561</v>
      </c>
      <c r="BK185" t="s">
        <v>607</v>
      </c>
      <c r="BL185" t="s">
        <v>562</v>
      </c>
      <c r="BM185" t="s">
        <v>1144</v>
      </c>
      <c r="BN185">
        <v>1</v>
      </c>
      <c r="BO185">
        <v>26.2</v>
      </c>
      <c r="BP185">
        <v>20</v>
      </c>
      <c r="BQ185">
        <v>66.67</v>
      </c>
      <c r="BR185" t="s">
        <v>549</v>
      </c>
    </row>
    <row r="186" spans="1:70">
      <c r="A186" t="s">
        <v>1145</v>
      </c>
      <c r="B186" t="s">
        <v>32</v>
      </c>
      <c r="C186" t="s">
        <v>567</v>
      </c>
      <c r="D186" t="s">
        <v>568</v>
      </c>
      <c r="E186" t="s">
        <v>34</v>
      </c>
      <c r="F186">
        <v>7</v>
      </c>
      <c r="G186" t="s">
        <v>539</v>
      </c>
      <c r="H186" t="s">
        <v>1146</v>
      </c>
      <c r="I186" t="s">
        <v>748</v>
      </c>
      <c r="J186" t="s">
        <v>542</v>
      </c>
      <c r="K186">
        <v>44828</v>
      </c>
      <c r="L186">
        <v>0</v>
      </c>
      <c r="M186" t="s">
        <v>570</v>
      </c>
      <c r="N186" t="s">
        <v>544</v>
      </c>
      <c r="O186">
        <v>443.84</v>
      </c>
      <c r="P186">
        <v>44828</v>
      </c>
      <c r="R186" t="s">
        <v>1147</v>
      </c>
      <c r="S186">
        <v>4</v>
      </c>
      <c r="T186" t="s">
        <v>628</v>
      </c>
      <c r="U186" t="s">
        <v>547</v>
      </c>
      <c r="V186">
        <v>6314</v>
      </c>
      <c r="W186">
        <v>6314</v>
      </c>
      <c r="Z186" t="s">
        <v>629</v>
      </c>
      <c r="AA186" t="s">
        <v>549</v>
      </c>
      <c r="AB186" t="s">
        <v>748</v>
      </c>
      <c r="AC186" t="s">
        <v>550</v>
      </c>
      <c r="AD186" t="s">
        <v>551</v>
      </c>
      <c r="AE186" t="s">
        <v>32</v>
      </c>
      <c r="AF186" t="s">
        <v>574</v>
      </c>
      <c r="AG186" t="s">
        <v>575</v>
      </c>
      <c r="AH186" t="s">
        <v>576</v>
      </c>
      <c r="AI186" t="s">
        <v>577</v>
      </c>
      <c r="AJ186" t="s">
        <v>578</v>
      </c>
      <c r="AK186" t="s">
        <v>556</v>
      </c>
      <c r="AM186" t="s">
        <v>579</v>
      </c>
      <c r="AN186" t="s">
        <v>558</v>
      </c>
      <c r="AO186" t="s">
        <v>33</v>
      </c>
      <c r="AP186" t="s">
        <v>580</v>
      </c>
      <c r="AQ186" t="s">
        <v>581</v>
      </c>
      <c r="AR186" t="s">
        <v>582</v>
      </c>
      <c r="AS186" t="s">
        <v>32</v>
      </c>
      <c r="AT186" t="s">
        <v>574</v>
      </c>
      <c r="AU186" t="s">
        <v>575</v>
      </c>
      <c r="AV186" t="s">
        <v>576</v>
      </c>
      <c r="AW186" t="s">
        <v>577</v>
      </c>
      <c r="AX186" t="s">
        <v>578</v>
      </c>
      <c r="AY186" t="s">
        <v>556</v>
      </c>
      <c r="BA186" t="s">
        <v>579</v>
      </c>
      <c r="BB186" t="s">
        <v>558</v>
      </c>
      <c r="BC186" t="s">
        <v>33</v>
      </c>
      <c r="BD186" t="s">
        <v>582</v>
      </c>
      <c r="BH186" t="s">
        <v>560</v>
      </c>
      <c r="BI186" t="s">
        <v>561</v>
      </c>
      <c r="BK186" t="s">
        <v>607</v>
      </c>
      <c r="BL186" t="s">
        <v>562</v>
      </c>
      <c r="BM186" t="s">
        <v>1148</v>
      </c>
      <c r="BN186">
        <v>1</v>
      </c>
      <c r="BO186">
        <v>443.84</v>
      </c>
      <c r="BR186" t="s">
        <v>549</v>
      </c>
    </row>
    <row r="187" spans="1:70">
      <c r="A187" t="s">
        <v>1145</v>
      </c>
      <c r="B187" t="s">
        <v>32</v>
      </c>
      <c r="C187" t="s">
        <v>567</v>
      </c>
      <c r="D187" t="s">
        <v>568</v>
      </c>
      <c r="E187" t="s">
        <v>34</v>
      </c>
      <c r="F187">
        <v>7</v>
      </c>
      <c r="H187" t="s">
        <v>1146</v>
      </c>
      <c r="R187" t="s">
        <v>1147</v>
      </c>
      <c r="S187">
        <v>2</v>
      </c>
      <c r="T187" t="s">
        <v>586</v>
      </c>
      <c r="U187" t="s">
        <v>547</v>
      </c>
      <c r="V187">
        <v>4998</v>
      </c>
      <c r="W187">
        <v>4998</v>
      </c>
      <c r="Z187" t="s">
        <v>587</v>
      </c>
      <c r="AA187" t="s">
        <v>549</v>
      </c>
      <c r="AB187" t="s">
        <v>748</v>
      </c>
      <c r="AC187" t="s">
        <v>550</v>
      </c>
      <c r="AD187" t="s">
        <v>551</v>
      </c>
      <c r="BR187" t="s">
        <v>549</v>
      </c>
    </row>
    <row r="188" spans="1:70">
      <c r="A188" t="s">
        <v>1145</v>
      </c>
      <c r="B188" t="s">
        <v>32</v>
      </c>
      <c r="C188" t="s">
        <v>567</v>
      </c>
      <c r="D188" t="s">
        <v>568</v>
      </c>
      <c r="E188" t="s">
        <v>34</v>
      </c>
      <c r="F188">
        <v>7</v>
      </c>
      <c r="H188" t="s">
        <v>1146</v>
      </c>
      <c r="R188" t="s">
        <v>1147</v>
      </c>
      <c r="S188">
        <v>2</v>
      </c>
      <c r="T188" t="s">
        <v>588</v>
      </c>
      <c r="U188" t="s">
        <v>547</v>
      </c>
      <c r="V188">
        <v>4788</v>
      </c>
      <c r="W188">
        <v>4788</v>
      </c>
      <c r="Z188" t="s">
        <v>589</v>
      </c>
      <c r="AA188" t="s">
        <v>549</v>
      </c>
      <c r="AB188" t="s">
        <v>748</v>
      </c>
      <c r="AC188" t="s">
        <v>550</v>
      </c>
      <c r="AD188" t="s">
        <v>551</v>
      </c>
      <c r="BR188" t="s">
        <v>549</v>
      </c>
    </row>
    <row r="189" spans="1:70">
      <c r="A189" t="s">
        <v>1149</v>
      </c>
      <c r="B189" t="s">
        <v>88</v>
      </c>
      <c r="C189" t="s">
        <v>972</v>
      </c>
      <c r="D189" t="s">
        <v>973</v>
      </c>
      <c r="E189" t="s">
        <v>90</v>
      </c>
      <c r="F189">
        <v>1</v>
      </c>
      <c r="G189" t="s">
        <v>539</v>
      </c>
      <c r="H189" t="s">
        <v>1150</v>
      </c>
      <c r="I189" t="s">
        <v>748</v>
      </c>
      <c r="J189" t="s">
        <v>542</v>
      </c>
      <c r="K189">
        <v>1335.6</v>
      </c>
      <c r="L189">
        <v>400</v>
      </c>
      <c r="M189" t="s">
        <v>543</v>
      </c>
      <c r="N189" t="s">
        <v>544</v>
      </c>
      <c r="O189">
        <v>79.89</v>
      </c>
      <c r="P189">
        <v>1735.6</v>
      </c>
      <c r="R189" t="s">
        <v>1151</v>
      </c>
      <c r="S189">
        <v>1</v>
      </c>
      <c r="T189" t="s">
        <v>976</v>
      </c>
      <c r="U189" t="s">
        <v>547</v>
      </c>
      <c r="V189">
        <v>1335.6</v>
      </c>
      <c r="W189">
        <v>1335.6</v>
      </c>
      <c r="Z189" t="s">
        <v>977</v>
      </c>
      <c r="AA189" t="s">
        <v>549</v>
      </c>
      <c r="AB189" t="s">
        <v>748</v>
      </c>
      <c r="AC189" t="s">
        <v>550</v>
      </c>
      <c r="AD189" t="s">
        <v>551</v>
      </c>
      <c r="AE189" t="s">
        <v>88</v>
      </c>
      <c r="AF189" t="s">
        <v>1152</v>
      </c>
      <c r="AG189" t="s">
        <v>1153</v>
      </c>
      <c r="AI189" t="s">
        <v>688</v>
      </c>
      <c r="AJ189" t="s">
        <v>689</v>
      </c>
      <c r="AK189" t="s">
        <v>556</v>
      </c>
      <c r="AM189" t="s">
        <v>690</v>
      </c>
      <c r="AN189" t="s">
        <v>558</v>
      </c>
      <c r="AO189" t="s">
        <v>89</v>
      </c>
      <c r="AP189" t="s">
        <v>549</v>
      </c>
      <c r="AQ189" t="s">
        <v>549</v>
      </c>
      <c r="AR189" t="s">
        <v>1154</v>
      </c>
      <c r="AS189" t="s">
        <v>88</v>
      </c>
      <c r="AT189" t="s">
        <v>1152</v>
      </c>
      <c r="AU189" t="s">
        <v>1153</v>
      </c>
      <c r="AW189" t="s">
        <v>688</v>
      </c>
      <c r="AX189" t="s">
        <v>689</v>
      </c>
      <c r="AY189" t="s">
        <v>556</v>
      </c>
      <c r="BA189" t="s">
        <v>690</v>
      </c>
      <c r="BB189" t="s">
        <v>558</v>
      </c>
      <c r="BC189" t="s">
        <v>89</v>
      </c>
      <c r="BD189" t="s">
        <v>1154</v>
      </c>
      <c r="BH189" t="s">
        <v>560</v>
      </c>
      <c r="BI189" t="s">
        <v>561</v>
      </c>
      <c r="BK189" t="s">
        <v>607</v>
      </c>
      <c r="BL189" t="s">
        <v>562</v>
      </c>
      <c r="BM189" t="s">
        <v>1155</v>
      </c>
      <c r="BN189">
        <v>1</v>
      </c>
      <c r="BO189">
        <v>13.22</v>
      </c>
      <c r="BP189">
        <v>20</v>
      </c>
      <c r="BQ189">
        <v>66.67</v>
      </c>
      <c r="BR189" t="s">
        <v>549</v>
      </c>
    </row>
    <row r="190" spans="1:70">
      <c r="A190" t="s">
        <v>1156</v>
      </c>
      <c r="B190" t="s">
        <v>111</v>
      </c>
      <c r="C190" t="s">
        <v>1157</v>
      </c>
      <c r="D190" t="s">
        <v>1158</v>
      </c>
      <c r="E190" t="s">
        <v>113</v>
      </c>
      <c r="F190">
        <v>1</v>
      </c>
      <c r="G190" t="s">
        <v>539</v>
      </c>
      <c r="H190" t="s">
        <v>1159</v>
      </c>
      <c r="I190" t="s">
        <v>748</v>
      </c>
      <c r="J190" t="s">
        <v>542</v>
      </c>
      <c r="K190">
        <v>8379</v>
      </c>
      <c r="L190">
        <v>400</v>
      </c>
      <c r="M190" t="s">
        <v>543</v>
      </c>
      <c r="N190" t="s">
        <v>544</v>
      </c>
      <c r="O190">
        <v>149.63</v>
      </c>
      <c r="P190">
        <v>8779</v>
      </c>
      <c r="R190" t="s">
        <v>1160</v>
      </c>
      <c r="S190">
        <v>2</v>
      </c>
      <c r="T190" t="s">
        <v>933</v>
      </c>
      <c r="U190" t="s">
        <v>547</v>
      </c>
      <c r="V190">
        <v>2646</v>
      </c>
      <c r="W190">
        <v>2646</v>
      </c>
      <c r="Z190" t="s">
        <v>934</v>
      </c>
      <c r="AA190" t="s">
        <v>549</v>
      </c>
      <c r="AB190" t="s">
        <v>748</v>
      </c>
      <c r="AC190" t="s">
        <v>550</v>
      </c>
      <c r="AD190" t="s">
        <v>551</v>
      </c>
      <c r="AE190" t="s">
        <v>111</v>
      </c>
      <c r="AF190" t="s">
        <v>1161</v>
      </c>
      <c r="AI190" t="s">
        <v>709</v>
      </c>
      <c r="AJ190" t="s">
        <v>1162</v>
      </c>
      <c r="AK190" t="s">
        <v>556</v>
      </c>
      <c r="AM190" t="s">
        <v>1163</v>
      </c>
      <c r="AN190" t="s">
        <v>558</v>
      </c>
      <c r="AO190" t="s">
        <v>112</v>
      </c>
      <c r="AP190" t="s">
        <v>549</v>
      </c>
      <c r="AQ190" t="s">
        <v>549</v>
      </c>
      <c r="AR190" t="s">
        <v>1164</v>
      </c>
      <c r="AS190" t="s">
        <v>111</v>
      </c>
      <c r="AT190" t="s">
        <v>1161</v>
      </c>
      <c r="AW190" t="s">
        <v>709</v>
      </c>
      <c r="AX190" t="s">
        <v>1162</v>
      </c>
      <c r="AY190" t="s">
        <v>556</v>
      </c>
      <c r="BA190" t="s">
        <v>1163</v>
      </c>
      <c r="BB190" t="s">
        <v>558</v>
      </c>
      <c r="BC190" t="s">
        <v>112</v>
      </c>
      <c r="BD190" t="s">
        <v>1164</v>
      </c>
      <c r="BH190" t="s">
        <v>560</v>
      </c>
      <c r="BI190" t="s">
        <v>561</v>
      </c>
      <c r="BK190" t="s">
        <v>607</v>
      </c>
      <c r="BL190" t="s">
        <v>562</v>
      </c>
      <c r="BM190" t="s">
        <v>1165</v>
      </c>
      <c r="BN190">
        <v>1</v>
      </c>
      <c r="BO190">
        <v>82.96</v>
      </c>
      <c r="BP190">
        <v>20</v>
      </c>
      <c r="BQ190">
        <v>66.67</v>
      </c>
      <c r="BR190" t="s">
        <v>549</v>
      </c>
    </row>
    <row r="191" spans="1:70">
      <c r="A191" t="s">
        <v>1156</v>
      </c>
      <c r="B191" t="s">
        <v>111</v>
      </c>
      <c r="C191" t="s">
        <v>1157</v>
      </c>
      <c r="D191" t="s">
        <v>1158</v>
      </c>
      <c r="E191" t="s">
        <v>113</v>
      </c>
      <c r="F191">
        <v>1</v>
      </c>
      <c r="H191" t="s">
        <v>1159</v>
      </c>
      <c r="R191" t="s">
        <v>1160</v>
      </c>
      <c r="S191">
        <v>1</v>
      </c>
      <c r="T191" t="s">
        <v>1033</v>
      </c>
      <c r="U191" t="s">
        <v>547</v>
      </c>
      <c r="V191">
        <v>3087</v>
      </c>
      <c r="W191">
        <v>3087</v>
      </c>
      <c r="Z191" t="s">
        <v>1034</v>
      </c>
      <c r="AA191" t="s">
        <v>549</v>
      </c>
      <c r="AB191" t="s">
        <v>748</v>
      </c>
      <c r="AC191" t="s">
        <v>550</v>
      </c>
      <c r="AD191" t="s">
        <v>551</v>
      </c>
      <c r="BR191" t="s">
        <v>549</v>
      </c>
    </row>
    <row r="192" spans="1:70">
      <c r="A192" t="s">
        <v>1166</v>
      </c>
      <c r="B192" t="s">
        <v>83</v>
      </c>
      <c r="C192" t="s">
        <v>903</v>
      </c>
      <c r="D192" t="s">
        <v>904</v>
      </c>
      <c r="E192" t="s">
        <v>85</v>
      </c>
      <c r="F192">
        <v>4</v>
      </c>
      <c r="G192" t="s">
        <v>539</v>
      </c>
      <c r="H192" t="s">
        <v>1167</v>
      </c>
      <c r="I192" t="s">
        <v>748</v>
      </c>
      <c r="J192" t="s">
        <v>542</v>
      </c>
      <c r="K192">
        <v>13874</v>
      </c>
      <c r="L192">
        <v>200</v>
      </c>
      <c r="M192" t="s">
        <v>543</v>
      </c>
      <c r="N192" t="s">
        <v>544</v>
      </c>
      <c r="O192">
        <v>170.7</v>
      </c>
      <c r="P192">
        <v>14074</v>
      </c>
      <c r="R192" t="s">
        <v>1168</v>
      </c>
      <c r="S192">
        <v>2</v>
      </c>
      <c r="T192" t="s">
        <v>1053</v>
      </c>
      <c r="U192" t="s">
        <v>547</v>
      </c>
      <c r="V192">
        <v>6937</v>
      </c>
      <c r="W192">
        <v>6937</v>
      </c>
      <c r="Z192" t="s">
        <v>1054</v>
      </c>
      <c r="AA192" t="s">
        <v>549</v>
      </c>
      <c r="AB192" t="s">
        <v>748</v>
      </c>
      <c r="AC192" t="s">
        <v>550</v>
      </c>
      <c r="AD192" t="s">
        <v>551</v>
      </c>
      <c r="AE192" t="s">
        <v>909</v>
      </c>
      <c r="AF192" t="s">
        <v>910</v>
      </c>
      <c r="AH192" t="s">
        <v>911</v>
      </c>
      <c r="AI192" t="s">
        <v>688</v>
      </c>
      <c r="AJ192" t="s">
        <v>912</v>
      </c>
      <c r="AK192" t="s">
        <v>556</v>
      </c>
      <c r="AM192" t="s">
        <v>690</v>
      </c>
      <c r="AN192" t="s">
        <v>558</v>
      </c>
      <c r="AO192" t="s">
        <v>84</v>
      </c>
      <c r="AP192" t="s">
        <v>913</v>
      </c>
      <c r="AQ192" t="s">
        <v>688</v>
      </c>
      <c r="AR192" t="s">
        <v>914</v>
      </c>
      <c r="AS192" t="s">
        <v>909</v>
      </c>
      <c r="AT192" t="s">
        <v>910</v>
      </c>
      <c r="AV192" t="s">
        <v>911</v>
      </c>
      <c r="AW192" t="s">
        <v>688</v>
      </c>
      <c r="AX192" t="s">
        <v>912</v>
      </c>
      <c r="AY192" t="s">
        <v>556</v>
      </c>
      <c r="BA192" t="s">
        <v>690</v>
      </c>
      <c r="BB192" t="s">
        <v>558</v>
      </c>
      <c r="BC192" t="s">
        <v>84</v>
      </c>
      <c r="BD192" t="s">
        <v>914</v>
      </c>
      <c r="BH192" t="s">
        <v>560</v>
      </c>
      <c r="BI192" t="s">
        <v>561</v>
      </c>
      <c r="BK192" t="s">
        <v>607</v>
      </c>
      <c r="BL192" t="s">
        <v>562</v>
      </c>
      <c r="BM192" t="s">
        <v>1169</v>
      </c>
      <c r="BN192">
        <v>1</v>
      </c>
      <c r="BO192">
        <v>137.37</v>
      </c>
      <c r="BP192">
        <v>20</v>
      </c>
      <c r="BQ192">
        <v>33.33</v>
      </c>
      <c r="BR192" t="s">
        <v>549</v>
      </c>
    </row>
    <row r="193" spans="1:70">
      <c r="A193" t="s">
        <v>1170</v>
      </c>
      <c r="B193" t="s">
        <v>179</v>
      </c>
      <c r="C193" t="s">
        <v>1171</v>
      </c>
      <c r="D193" t="s">
        <v>1172</v>
      </c>
      <c r="E193" t="s">
        <v>181</v>
      </c>
      <c r="F193">
        <v>1</v>
      </c>
      <c r="G193" t="s">
        <v>539</v>
      </c>
      <c r="H193" t="s">
        <v>1173</v>
      </c>
      <c r="I193" t="s">
        <v>748</v>
      </c>
      <c r="J193" t="s">
        <v>542</v>
      </c>
      <c r="K193">
        <v>3087</v>
      </c>
      <c r="L193">
        <v>400</v>
      </c>
      <c r="M193" t="s">
        <v>543</v>
      </c>
      <c r="N193" t="s">
        <v>544</v>
      </c>
      <c r="O193">
        <v>97.23</v>
      </c>
      <c r="P193">
        <v>3487</v>
      </c>
      <c r="R193" t="s">
        <v>1174</v>
      </c>
      <c r="S193">
        <v>1</v>
      </c>
      <c r="T193" t="s">
        <v>1033</v>
      </c>
      <c r="U193" t="s">
        <v>547</v>
      </c>
      <c r="V193">
        <v>3087</v>
      </c>
      <c r="W193">
        <v>3087</v>
      </c>
      <c r="Z193" t="s">
        <v>1034</v>
      </c>
      <c r="AA193" t="s">
        <v>549</v>
      </c>
      <c r="AB193" t="s">
        <v>748</v>
      </c>
      <c r="AC193" t="s">
        <v>550</v>
      </c>
      <c r="AD193" t="s">
        <v>551</v>
      </c>
      <c r="AE193" t="s">
        <v>179</v>
      </c>
      <c r="AF193" t="s">
        <v>1175</v>
      </c>
      <c r="AI193" t="s">
        <v>1176</v>
      </c>
      <c r="AJ193" t="s">
        <v>1177</v>
      </c>
      <c r="AK193" t="s">
        <v>556</v>
      </c>
      <c r="AM193" t="s">
        <v>1178</v>
      </c>
      <c r="AN193" t="s">
        <v>558</v>
      </c>
      <c r="AO193" t="s">
        <v>180</v>
      </c>
      <c r="AP193" t="s">
        <v>549</v>
      </c>
      <c r="AQ193" t="s">
        <v>549</v>
      </c>
      <c r="AR193" t="s">
        <v>1179</v>
      </c>
      <c r="AS193" t="s">
        <v>179</v>
      </c>
      <c r="AT193" t="s">
        <v>1175</v>
      </c>
      <c r="AW193" t="s">
        <v>1176</v>
      </c>
      <c r="AX193" t="s">
        <v>1177</v>
      </c>
      <c r="AY193" t="s">
        <v>556</v>
      </c>
      <c r="BA193" t="s">
        <v>1178</v>
      </c>
      <c r="BB193" t="s">
        <v>558</v>
      </c>
      <c r="BC193" t="s">
        <v>180</v>
      </c>
      <c r="BD193" t="s">
        <v>1179</v>
      </c>
      <c r="BH193" t="s">
        <v>560</v>
      </c>
      <c r="BI193" t="s">
        <v>561</v>
      </c>
      <c r="BK193" t="s">
        <v>607</v>
      </c>
      <c r="BL193" t="s">
        <v>562</v>
      </c>
      <c r="BM193" t="s">
        <v>1180</v>
      </c>
      <c r="BN193">
        <v>1</v>
      </c>
      <c r="BO193">
        <v>30.56</v>
      </c>
      <c r="BP193">
        <v>20</v>
      </c>
      <c r="BQ193">
        <v>66.67</v>
      </c>
      <c r="BR193" t="s">
        <v>549</v>
      </c>
    </row>
    <row r="194" spans="1:70">
      <c r="A194" t="s">
        <v>1181</v>
      </c>
      <c r="B194" t="s">
        <v>102</v>
      </c>
      <c r="C194" t="s">
        <v>1182</v>
      </c>
      <c r="D194" t="s">
        <v>1183</v>
      </c>
      <c r="E194" t="s">
        <v>104</v>
      </c>
      <c r="F194">
        <v>1</v>
      </c>
      <c r="G194" t="s">
        <v>539</v>
      </c>
      <c r="H194" t="s">
        <v>1184</v>
      </c>
      <c r="I194" t="s">
        <v>748</v>
      </c>
      <c r="J194" t="s">
        <v>542</v>
      </c>
      <c r="K194">
        <v>24080</v>
      </c>
      <c r="L194">
        <v>0</v>
      </c>
      <c r="M194" t="s">
        <v>570</v>
      </c>
      <c r="N194" t="s">
        <v>544</v>
      </c>
      <c r="O194">
        <v>238.42</v>
      </c>
      <c r="P194">
        <v>24080</v>
      </c>
      <c r="R194" t="s">
        <v>1185</v>
      </c>
      <c r="S194">
        <v>16</v>
      </c>
      <c r="T194" t="s">
        <v>616</v>
      </c>
      <c r="U194" t="s">
        <v>547</v>
      </c>
      <c r="V194">
        <v>1505</v>
      </c>
      <c r="W194">
        <v>1505</v>
      </c>
      <c r="Z194" t="s">
        <v>890</v>
      </c>
      <c r="AA194" t="s">
        <v>549</v>
      </c>
      <c r="AB194" t="s">
        <v>748</v>
      </c>
      <c r="AC194" t="s">
        <v>550</v>
      </c>
      <c r="AD194" t="s">
        <v>551</v>
      </c>
      <c r="AE194" t="s">
        <v>102</v>
      </c>
      <c r="AF194" t="s">
        <v>1186</v>
      </c>
      <c r="AG194" t="s">
        <v>1187</v>
      </c>
      <c r="AI194" t="s">
        <v>621</v>
      </c>
      <c r="AJ194" t="s">
        <v>1188</v>
      </c>
      <c r="AK194" t="s">
        <v>556</v>
      </c>
      <c r="AM194" t="s">
        <v>623</v>
      </c>
      <c r="AN194" t="s">
        <v>558</v>
      </c>
      <c r="AO194" t="s">
        <v>103</v>
      </c>
      <c r="AP194" t="s">
        <v>549</v>
      </c>
      <c r="AQ194" t="s">
        <v>549</v>
      </c>
      <c r="AR194" t="s">
        <v>1189</v>
      </c>
      <c r="AS194" t="s">
        <v>102</v>
      </c>
      <c r="AT194" t="s">
        <v>1186</v>
      </c>
      <c r="AU194" t="s">
        <v>1187</v>
      </c>
      <c r="AW194" t="s">
        <v>621</v>
      </c>
      <c r="AX194" t="s">
        <v>1188</v>
      </c>
      <c r="AY194" t="s">
        <v>556</v>
      </c>
      <c r="BA194" t="s">
        <v>623</v>
      </c>
      <c r="BB194" t="s">
        <v>558</v>
      </c>
      <c r="BC194" t="s">
        <v>103</v>
      </c>
      <c r="BD194" t="s">
        <v>1189</v>
      </c>
      <c r="BH194" t="s">
        <v>560</v>
      </c>
      <c r="BI194" t="s">
        <v>561</v>
      </c>
      <c r="BK194" t="s">
        <v>607</v>
      </c>
      <c r="BL194" t="s">
        <v>562</v>
      </c>
      <c r="BM194" t="s">
        <v>1190</v>
      </c>
      <c r="BN194">
        <v>1</v>
      </c>
      <c r="BO194">
        <v>238.42</v>
      </c>
      <c r="BR194" t="s">
        <v>549</v>
      </c>
    </row>
    <row r="195" spans="1:70">
      <c r="A195" t="s">
        <v>1191</v>
      </c>
      <c r="B195" t="s">
        <v>51</v>
      </c>
      <c r="C195" t="s">
        <v>781</v>
      </c>
      <c r="D195" t="s">
        <v>782</v>
      </c>
      <c r="E195" t="s">
        <v>172</v>
      </c>
      <c r="F195">
        <v>2</v>
      </c>
      <c r="G195" t="s">
        <v>539</v>
      </c>
      <c r="H195" t="s">
        <v>1192</v>
      </c>
      <c r="I195" t="s">
        <v>748</v>
      </c>
      <c r="J195" t="s">
        <v>542</v>
      </c>
      <c r="K195">
        <v>4788</v>
      </c>
      <c r="L195">
        <v>400</v>
      </c>
      <c r="M195" t="s">
        <v>543</v>
      </c>
      <c r="N195" t="s">
        <v>544</v>
      </c>
      <c r="O195">
        <v>114.08</v>
      </c>
      <c r="P195">
        <v>5188</v>
      </c>
      <c r="R195" t="s">
        <v>1193</v>
      </c>
      <c r="S195">
        <v>1</v>
      </c>
      <c r="T195" t="s">
        <v>588</v>
      </c>
      <c r="U195" t="s">
        <v>547</v>
      </c>
      <c r="V195">
        <v>4788</v>
      </c>
      <c r="W195">
        <v>4788</v>
      </c>
      <c r="Z195" t="s">
        <v>589</v>
      </c>
      <c r="AA195" t="s">
        <v>549</v>
      </c>
      <c r="AB195" t="s">
        <v>748</v>
      </c>
      <c r="AC195" t="s">
        <v>550</v>
      </c>
      <c r="AD195" t="s">
        <v>551</v>
      </c>
      <c r="AE195" t="s">
        <v>51</v>
      </c>
      <c r="AF195" t="s">
        <v>785</v>
      </c>
      <c r="AG195" t="s">
        <v>786</v>
      </c>
      <c r="AH195" t="s">
        <v>787</v>
      </c>
      <c r="AI195" t="s">
        <v>601</v>
      </c>
      <c r="AJ195" t="s">
        <v>788</v>
      </c>
      <c r="AK195" t="s">
        <v>556</v>
      </c>
      <c r="AM195" t="s">
        <v>603</v>
      </c>
      <c r="AN195" t="s">
        <v>558</v>
      </c>
      <c r="AO195" t="s">
        <v>52</v>
      </c>
      <c r="AP195" t="s">
        <v>789</v>
      </c>
      <c r="AQ195" t="s">
        <v>790</v>
      </c>
      <c r="AR195" t="s">
        <v>791</v>
      </c>
      <c r="AS195" t="s">
        <v>51</v>
      </c>
      <c r="AT195" t="s">
        <v>785</v>
      </c>
      <c r="AU195" t="s">
        <v>786</v>
      </c>
      <c r="AV195" t="s">
        <v>787</v>
      </c>
      <c r="AW195" t="s">
        <v>601</v>
      </c>
      <c r="AX195" t="s">
        <v>788</v>
      </c>
      <c r="AY195" t="s">
        <v>556</v>
      </c>
      <c r="BA195" t="s">
        <v>603</v>
      </c>
      <c r="BB195" t="s">
        <v>558</v>
      </c>
      <c r="BC195" t="s">
        <v>52</v>
      </c>
      <c r="BD195" t="s">
        <v>791</v>
      </c>
      <c r="BH195" t="s">
        <v>560</v>
      </c>
      <c r="BI195" t="s">
        <v>561</v>
      </c>
      <c r="BK195" t="s">
        <v>607</v>
      </c>
      <c r="BL195" t="s">
        <v>562</v>
      </c>
      <c r="BM195" t="s">
        <v>1194</v>
      </c>
      <c r="BN195">
        <v>1</v>
      </c>
      <c r="BO195">
        <v>47.41</v>
      </c>
      <c r="BP195">
        <v>20</v>
      </c>
      <c r="BQ195">
        <v>66.67</v>
      </c>
      <c r="BR195" t="s">
        <v>549</v>
      </c>
    </row>
    <row r="196" spans="1:70">
      <c r="A196" t="s">
        <v>1195</v>
      </c>
      <c r="B196" t="s">
        <v>304</v>
      </c>
      <c r="C196" t="s">
        <v>1196</v>
      </c>
      <c r="D196" t="s">
        <v>1197</v>
      </c>
      <c r="E196" t="s">
        <v>306</v>
      </c>
      <c r="F196">
        <v>1</v>
      </c>
      <c r="G196" t="s">
        <v>539</v>
      </c>
      <c r="H196" t="s">
        <v>1198</v>
      </c>
      <c r="I196" t="s">
        <v>748</v>
      </c>
      <c r="J196" t="s">
        <v>542</v>
      </c>
      <c r="K196">
        <v>41563.199999999997</v>
      </c>
      <c r="L196">
        <v>0</v>
      </c>
      <c r="M196" t="s">
        <v>570</v>
      </c>
      <c r="N196" t="s">
        <v>544</v>
      </c>
      <c r="O196">
        <v>411.52</v>
      </c>
      <c r="P196">
        <v>41563.199999999997</v>
      </c>
      <c r="R196" t="s">
        <v>1199</v>
      </c>
      <c r="S196">
        <v>4</v>
      </c>
      <c r="T196" t="s">
        <v>586</v>
      </c>
      <c r="U196" t="s">
        <v>547</v>
      </c>
      <c r="V196">
        <v>4998</v>
      </c>
      <c r="W196">
        <v>4998</v>
      </c>
      <c r="Z196" t="s">
        <v>587</v>
      </c>
      <c r="AA196" t="s">
        <v>549</v>
      </c>
      <c r="AB196" t="s">
        <v>748</v>
      </c>
      <c r="AC196" t="s">
        <v>550</v>
      </c>
      <c r="AD196" t="s">
        <v>551</v>
      </c>
      <c r="AE196" t="s">
        <v>304</v>
      </c>
      <c r="AF196" t="s">
        <v>1200</v>
      </c>
      <c r="AH196" t="s">
        <v>1201</v>
      </c>
      <c r="AI196" t="s">
        <v>577</v>
      </c>
      <c r="AJ196" t="s">
        <v>655</v>
      </c>
      <c r="AK196" t="s">
        <v>556</v>
      </c>
      <c r="AM196" t="s">
        <v>579</v>
      </c>
      <c r="AN196" t="s">
        <v>558</v>
      </c>
      <c r="AO196" t="s">
        <v>305</v>
      </c>
      <c r="AP196" t="s">
        <v>580</v>
      </c>
      <c r="AQ196" t="s">
        <v>1202</v>
      </c>
      <c r="AR196" t="s">
        <v>1203</v>
      </c>
      <c r="AS196" t="s">
        <v>304</v>
      </c>
      <c r="AT196" t="s">
        <v>1200</v>
      </c>
      <c r="AV196" t="s">
        <v>1201</v>
      </c>
      <c r="AW196" t="s">
        <v>577</v>
      </c>
      <c r="AX196" t="s">
        <v>655</v>
      </c>
      <c r="AY196" t="s">
        <v>556</v>
      </c>
      <c r="BA196" t="s">
        <v>579</v>
      </c>
      <c r="BB196" t="s">
        <v>558</v>
      </c>
      <c r="BC196" t="s">
        <v>305</v>
      </c>
      <c r="BD196" t="s">
        <v>1203</v>
      </c>
      <c r="BH196" t="s">
        <v>560</v>
      </c>
      <c r="BI196" t="s">
        <v>561</v>
      </c>
      <c r="BK196" t="s">
        <v>607</v>
      </c>
      <c r="BL196" t="s">
        <v>562</v>
      </c>
      <c r="BM196" t="s">
        <v>1204</v>
      </c>
      <c r="BN196">
        <v>1</v>
      </c>
      <c r="BO196">
        <v>411.52</v>
      </c>
      <c r="BR196" t="s">
        <v>549</v>
      </c>
    </row>
    <row r="197" spans="1:70">
      <c r="A197" t="s">
        <v>1195</v>
      </c>
      <c r="B197" t="s">
        <v>304</v>
      </c>
      <c r="C197" t="s">
        <v>1196</v>
      </c>
      <c r="D197" t="s">
        <v>1197</v>
      </c>
      <c r="E197" t="s">
        <v>306</v>
      </c>
      <c r="F197">
        <v>1</v>
      </c>
      <c r="H197" t="s">
        <v>1198</v>
      </c>
      <c r="R197" t="s">
        <v>1199</v>
      </c>
      <c r="S197">
        <v>4</v>
      </c>
      <c r="T197" t="s">
        <v>588</v>
      </c>
      <c r="U197" t="s">
        <v>547</v>
      </c>
      <c r="V197">
        <v>4788</v>
      </c>
      <c r="W197">
        <v>4788</v>
      </c>
      <c r="Z197" t="s">
        <v>589</v>
      </c>
      <c r="AA197" t="s">
        <v>549</v>
      </c>
      <c r="AB197" t="s">
        <v>748</v>
      </c>
      <c r="AC197" t="s">
        <v>550</v>
      </c>
      <c r="AD197" t="s">
        <v>551</v>
      </c>
      <c r="BR197" t="s">
        <v>549</v>
      </c>
    </row>
    <row r="198" spans="1:70">
      <c r="A198" t="s">
        <v>1195</v>
      </c>
      <c r="B198" t="s">
        <v>304</v>
      </c>
      <c r="C198" t="s">
        <v>1196</v>
      </c>
      <c r="D198" t="s">
        <v>1197</v>
      </c>
      <c r="E198" t="s">
        <v>306</v>
      </c>
      <c r="F198">
        <v>1</v>
      </c>
      <c r="H198" t="s">
        <v>1198</v>
      </c>
      <c r="R198" t="s">
        <v>1199</v>
      </c>
      <c r="S198">
        <v>3</v>
      </c>
      <c r="T198" t="s">
        <v>818</v>
      </c>
      <c r="U198" t="s">
        <v>547</v>
      </c>
      <c r="V198">
        <v>806.4</v>
      </c>
      <c r="W198">
        <v>806.4</v>
      </c>
      <c r="Z198" t="s">
        <v>819</v>
      </c>
      <c r="AA198" t="s">
        <v>549</v>
      </c>
      <c r="AB198" t="s">
        <v>748</v>
      </c>
      <c r="AC198" t="s">
        <v>550</v>
      </c>
      <c r="AD198" t="s">
        <v>551</v>
      </c>
      <c r="BR198" t="s">
        <v>549</v>
      </c>
    </row>
    <row r="199" spans="1:70">
      <c r="A199" t="s">
        <v>1205</v>
      </c>
      <c r="B199" t="s">
        <v>78</v>
      </c>
      <c r="C199" t="s">
        <v>892</v>
      </c>
      <c r="D199" t="s">
        <v>893</v>
      </c>
      <c r="E199" t="s">
        <v>80</v>
      </c>
      <c r="F199">
        <v>1</v>
      </c>
      <c r="G199" t="s">
        <v>539</v>
      </c>
      <c r="H199" t="s">
        <v>1206</v>
      </c>
      <c r="I199" t="s">
        <v>1207</v>
      </c>
      <c r="J199" t="s">
        <v>542</v>
      </c>
      <c r="K199">
        <v>59798.69</v>
      </c>
      <c r="L199">
        <v>0</v>
      </c>
      <c r="M199" t="s">
        <v>570</v>
      </c>
      <c r="N199" t="s">
        <v>544</v>
      </c>
      <c r="O199">
        <v>592.07000000000005</v>
      </c>
      <c r="P199">
        <v>59798.69</v>
      </c>
      <c r="R199" t="s">
        <v>1208</v>
      </c>
      <c r="S199">
        <v>1</v>
      </c>
      <c r="T199" t="s">
        <v>862</v>
      </c>
      <c r="U199" t="s">
        <v>547</v>
      </c>
      <c r="V199">
        <v>6936.3</v>
      </c>
      <c r="W199">
        <v>9248.4</v>
      </c>
      <c r="X199">
        <v>6936.3</v>
      </c>
      <c r="Z199" t="s">
        <v>863</v>
      </c>
      <c r="AA199" t="s">
        <v>549</v>
      </c>
      <c r="AB199" t="s">
        <v>748</v>
      </c>
      <c r="AC199" t="s">
        <v>550</v>
      </c>
      <c r="AD199" t="s">
        <v>551</v>
      </c>
      <c r="AE199" t="s">
        <v>896</v>
      </c>
      <c r="AF199" t="s">
        <v>897</v>
      </c>
      <c r="AI199" t="s">
        <v>898</v>
      </c>
      <c r="AJ199" t="s">
        <v>899</v>
      </c>
      <c r="AK199" t="s">
        <v>556</v>
      </c>
      <c r="AM199" t="s">
        <v>900</v>
      </c>
      <c r="AN199" t="s">
        <v>558</v>
      </c>
      <c r="AO199" t="s">
        <v>79</v>
      </c>
      <c r="AP199" t="s">
        <v>549</v>
      </c>
      <c r="AQ199" t="s">
        <v>549</v>
      </c>
      <c r="AR199" t="s">
        <v>549</v>
      </c>
      <c r="AS199" t="s">
        <v>896</v>
      </c>
      <c r="AT199" t="s">
        <v>897</v>
      </c>
      <c r="AW199" t="s">
        <v>898</v>
      </c>
      <c r="AX199" t="s">
        <v>899</v>
      </c>
      <c r="AY199" t="s">
        <v>556</v>
      </c>
      <c r="BA199" t="s">
        <v>900</v>
      </c>
      <c r="BB199" t="s">
        <v>558</v>
      </c>
      <c r="BC199" t="s">
        <v>79</v>
      </c>
      <c r="BD199" t="s">
        <v>549</v>
      </c>
      <c r="BH199" t="s">
        <v>560</v>
      </c>
      <c r="BI199" t="s">
        <v>561</v>
      </c>
      <c r="BK199" t="s">
        <v>1209</v>
      </c>
      <c r="BL199" t="s">
        <v>562</v>
      </c>
      <c r="BM199" t="s">
        <v>1210</v>
      </c>
      <c r="BN199">
        <v>1</v>
      </c>
      <c r="BO199">
        <v>592.07000000000005</v>
      </c>
      <c r="BR199" t="s">
        <v>549</v>
      </c>
    </row>
    <row r="200" spans="1:70">
      <c r="A200" t="s">
        <v>1205</v>
      </c>
      <c r="B200" t="s">
        <v>78</v>
      </c>
      <c r="C200" t="s">
        <v>892</v>
      </c>
      <c r="D200" t="s">
        <v>893</v>
      </c>
      <c r="E200" t="s">
        <v>80</v>
      </c>
      <c r="F200">
        <v>1</v>
      </c>
      <c r="H200" t="s">
        <v>1206</v>
      </c>
      <c r="R200" t="s">
        <v>1208</v>
      </c>
      <c r="S200">
        <v>2</v>
      </c>
      <c r="T200" t="s">
        <v>818</v>
      </c>
      <c r="U200" t="s">
        <v>547</v>
      </c>
      <c r="V200">
        <v>806.4</v>
      </c>
      <c r="W200">
        <v>806.4</v>
      </c>
      <c r="Z200" t="s">
        <v>819</v>
      </c>
      <c r="AA200" t="s">
        <v>549</v>
      </c>
      <c r="AB200" t="s">
        <v>748</v>
      </c>
      <c r="AC200" t="s">
        <v>550</v>
      </c>
      <c r="AD200" t="s">
        <v>551</v>
      </c>
      <c r="BR200" t="s">
        <v>549</v>
      </c>
    </row>
    <row r="201" spans="1:70">
      <c r="A201" t="s">
        <v>1205</v>
      </c>
      <c r="B201" t="s">
        <v>78</v>
      </c>
      <c r="C201" t="s">
        <v>892</v>
      </c>
      <c r="D201" t="s">
        <v>893</v>
      </c>
      <c r="E201" t="s">
        <v>80</v>
      </c>
      <c r="F201">
        <v>1</v>
      </c>
      <c r="H201" t="s">
        <v>1206</v>
      </c>
      <c r="R201" t="s">
        <v>1208</v>
      </c>
      <c r="S201">
        <v>1</v>
      </c>
      <c r="T201" t="s">
        <v>1211</v>
      </c>
      <c r="U201" t="s">
        <v>547</v>
      </c>
      <c r="V201">
        <v>4249.07</v>
      </c>
      <c r="W201">
        <v>4249.07</v>
      </c>
      <c r="Z201" t="s">
        <v>1212</v>
      </c>
      <c r="AA201" t="s">
        <v>549</v>
      </c>
      <c r="AB201" t="s">
        <v>1140</v>
      </c>
      <c r="AC201" t="s">
        <v>550</v>
      </c>
      <c r="AD201" t="s">
        <v>551</v>
      </c>
      <c r="BJ201">
        <v>4249.07</v>
      </c>
      <c r="BR201" t="s">
        <v>549</v>
      </c>
    </row>
    <row r="202" spans="1:70">
      <c r="A202" t="s">
        <v>1205</v>
      </c>
      <c r="B202" t="s">
        <v>78</v>
      </c>
      <c r="C202" t="s">
        <v>892</v>
      </c>
      <c r="D202" t="s">
        <v>893</v>
      </c>
      <c r="E202" t="s">
        <v>80</v>
      </c>
      <c r="F202">
        <v>1</v>
      </c>
      <c r="H202" t="s">
        <v>1206</v>
      </c>
      <c r="R202" t="s">
        <v>1208</v>
      </c>
      <c r="S202">
        <v>3</v>
      </c>
      <c r="T202" t="s">
        <v>628</v>
      </c>
      <c r="U202" t="s">
        <v>547</v>
      </c>
      <c r="V202">
        <v>6314</v>
      </c>
      <c r="W202">
        <v>6314</v>
      </c>
      <c r="Z202" t="s">
        <v>629</v>
      </c>
      <c r="AA202" t="s">
        <v>549</v>
      </c>
      <c r="AB202" t="s">
        <v>748</v>
      </c>
      <c r="AC202" t="s">
        <v>550</v>
      </c>
      <c r="AD202" t="s">
        <v>551</v>
      </c>
      <c r="BR202" t="s">
        <v>549</v>
      </c>
    </row>
    <row r="203" spans="1:70">
      <c r="A203" t="s">
        <v>1205</v>
      </c>
      <c r="B203" t="s">
        <v>78</v>
      </c>
      <c r="C203" t="s">
        <v>892</v>
      </c>
      <c r="D203" t="s">
        <v>893</v>
      </c>
      <c r="E203" t="s">
        <v>80</v>
      </c>
      <c r="F203">
        <v>1</v>
      </c>
      <c r="H203" t="s">
        <v>1206</v>
      </c>
      <c r="R203" t="s">
        <v>1208</v>
      </c>
      <c r="S203">
        <v>2</v>
      </c>
      <c r="T203" t="s">
        <v>837</v>
      </c>
      <c r="U203" t="s">
        <v>547</v>
      </c>
      <c r="V203">
        <v>1680</v>
      </c>
      <c r="W203">
        <v>1680</v>
      </c>
      <c r="Z203" t="s">
        <v>838</v>
      </c>
      <c r="AA203" t="s">
        <v>549</v>
      </c>
      <c r="AB203" t="s">
        <v>748</v>
      </c>
      <c r="AC203" t="s">
        <v>550</v>
      </c>
      <c r="AD203" t="s">
        <v>551</v>
      </c>
      <c r="BR203" t="s">
        <v>549</v>
      </c>
    </row>
    <row r="204" spans="1:70">
      <c r="A204" t="s">
        <v>1205</v>
      </c>
      <c r="B204" t="s">
        <v>78</v>
      </c>
      <c r="C204" t="s">
        <v>892</v>
      </c>
      <c r="D204" t="s">
        <v>893</v>
      </c>
      <c r="E204" t="s">
        <v>80</v>
      </c>
      <c r="F204">
        <v>1</v>
      </c>
      <c r="H204" t="s">
        <v>1206</v>
      </c>
      <c r="R204" t="s">
        <v>1208</v>
      </c>
      <c r="S204">
        <v>1</v>
      </c>
      <c r="T204" t="s">
        <v>722</v>
      </c>
      <c r="U204" t="s">
        <v>547</v>
      </c>
      <c r="V204">
        <v>2532.3200000000002</v>
      </c>
      <c r="W204">
        <v>2979.2</v>
      </c>
      <c r="X204">
        <v>2532.3200000000002</v>
      </c>
      <c r="Z204" t="s">
        <v>723</v>
      </c>
      <c r="AA204" t="s">
        <v>549</v>
      </c>
      <c r="AB204" t="s">
        <v>748</v>
      </c>
      <c r="AC204" t="s">
        <v>550</v>
      </c>
      <c r="AD204" t="s">
        <v>551</v>
      </c>
      <c r="BR204" t="s">
        <v>549</v>
      </c>
    </row>
    <row r="205" spans="1:70">
      <c r="A205" t="s">
        <v>1205</v>
      </c>
      <c r="B205" t="s">
        <v>78</v>
      </c>
      <c r="C205" t="s">
        <v>892</v>
      </c>
      <c r="D205" t="s">
        <v>893</v>
      </c>
      <c r="E205" t="s">
        <v>80</v>
      </c>
      <c r="F205">
        <v>1</v>
      </c>
      <c r="H205" t="s">
        <v>1206</v>
      </c>
      <c r="R205" t="s">
        <v>1208</v>
      </c>
      <c r="S205">
        <v>3</v>
      </c>
      <c r="T205" t="s">
        <v>704</v>
      </c>
      <c r="U205" t="s">
        <v>547</v>
      </c>
      <c r="V205">
        <v>2570.4</v>
      </c>
      <c r="W205">
        <v>3024</v>
      </c>
      <c r="X205">
        <v>2570.4</v>
      </c>
      <c r="Z205" t="s">
        <v>705</v>
      </c>
      <c r="AA205" t="s">
        <v>549</v>
      </c>
      <c r="AB205" t="s">
        <v>748</v>
      </c>
      <c r="AC205" t="s">
        <v>550</v>
      </c>
      <c r="AD205" t="s">
        <v>551</v>
      </c>
      <c r="BR205" t="s">
        <v>549</v>
      </c>
    </row>
    <row r="206" spans="1:70">
      <c r="A206" t="s">
        <v>1205</v>
      </c>
      <c r="B206" t="s">
        <v>78</v>
      </c>
      <c r="C206" t="s">
        <v>892</v>
      </c>
      <c r="D206" t="s">
        <v>893</v>
      </c>
      <c r="E206" t="s">
        <v>80</v>
      </c>
      <c r="F206">
        <v>1</v>
      </c>
      <c r="H206" t="s">
        <v>1206</v>
      </c>
      <c r="R206" t="s">
        <v>1208</v>
      </c>
      <c r="S206">
        <v>2</v>
      </c>
      <c r="T206" t="s">
        <v>1213</v>
      </c>
      <c r="U206" t="s">
        <v>547</v>
      </c>
      <c r="V206">
        <v>3850</v>
      </c>
      <c r="W206">
        <v>3850</v>
      </c>
      <c r="Z206" t="s">
        <v>1214</v>
      </c>
      <c r="AA206" t="s">
        <v>549</v>
      </c>
      <c r="AB206" t="s">
        <v>748</v>
      </c>
      <c r="AC206" t="s">
        <v>550</v>
      </c>
      <c r="AD206" t="s">
        <v>551</v>
      </c>
      <c r="BR206" t="s">
        <v>549</v>
      </c>
    </row>
    <row r="207" spans="1:70">
      <c r="A207" t="s">
        <v>1205</v>
      </c>
      <c r="B207" t="s">
        <v>78</v>
      </c>
      <c r="C207" t="s">
        <v>892</v>
      </c>
      <c r="D207" t="s">
        <v>893</v>
      </c>
      <c r="E207" t="s">
        <v>80</v>
      </c>
      <c r="F207">
        <v>1</v>
      </c>
      <c r="H207" t="s">
        <v>1206</v>
      </c>
      <c r="R207" t="s">
        <v>1208</v>
      </c>
      <c r="S207">
        <v>1</v>
      </c>
      <c r="T207" t="s">
        <v>907</v>
      </c>
      <c r="U207" t="s">
        <v>547</v>
      </c>
      <c r="V207">
        <v>3668</v>
      </c>
      <c r="W207">
        <v>3668</v>
      </c>
      <c r="Z207" t="s">
        <v>908</v>
      </c>
      <c r="AA207" t="s">
        <v>549</v>
      </c>
      <c r="AB207" t="s">
        <v>748</v>
      </c>
      <c r="AC207" t="s">
        <v>550</v>
      </c>
      <c r="AD207" t="s">
        <v>551</v>
      </c>
      <c r="BR207" t="s">
        <v>549</v>
      </c>
    </row>
    <row r="208" spans="1:70">
      <c r="A208" t="s">
        <v>1205</v>
      </c>
      <c r="B208" t="s">
        <v>78</v>
      </c>
      <c r="C208" t="s">
        <v>892</v>
      </c>
      <c r="D208" t="s">
        <v>893</v>
      </c>
      <c r="E208" t="s">
        <v>80</v>
      </c>
      <c r="F208">
        <v>1</v>
      </c>
      <c r="H208" t="s">
        <v>1206</v>
      </c>
      <c r="R208" t="s">
        <v>1208</v>
      </c>
      <c r="S208">
        <v>1</v>
      </c>
      <c r="T208" t="s">
        <v>1033</v>
      </c>
      <c r="U208" t="s">
        <v>547</v>
      </c>
      <c r="V208">
        <v>3087</v>
      </c>
      <c r="W208">
        <v>3087</v>
      </c>
      <c r="Z208" t="s">
        <v>1034</v>
      </c>
      <c r="AA208" t="s">
        <v>549</v>
      </c>
      <c r="AB208" t="s">
        <v>748</v>
      </c>
      <c r="AC208" t="s">
        <v>550</v>
      </c>
      <c r="AD208" t="s">
        <v>551</v>
      </c>
      <c r="BR208" t="s">
        <v>549</v>
      </c>
    </row>
    <row r="209" spans="1:70">
      <c r="A209" t="s">
        <v>1215</v>
      </c>
      <c r="B209" t="s">
        <v>307</v>
      </c>
      <c r="C209" t="s">
        <v>883</v>
      </c>
      <c r="D209" t="s">
        <v>884</v>
      </c>
      <c r="E209" t="s">
        <v>309</v>
      </c>
      <c r="F209">
        <v>2</v>
      </c>
      <c r="G209" t="s">
        <v>539</v>
      </c>
      <c r="H209" t="s">
        <v>1216</v>
      </c>
      <c r="I209" t="s">
        <v>748</v>
      </c>
      <c r="J209" t="s">
        <v>542</v>
      </c>
      <c r="K209">
        <v>4515</v>
      </c>
      <c r="L209">
        <v>400</v>
      </c>
      <c r="M209" t="s">
        <v>543</v>
      </c>
      <c r="N209" t="s">
        <v>544</v>
      </c>
      <c r="O209">
        <v>111.37</v>
      </c>
      <c r="P209">
        <v>4915</v>
      </c>
      <c r="R209" t="s">
        <v>1217</v>
      </c>
      <c r="S209">
        <v>3</v>
      </c>
      <c r="T209" t="s">
        <v>616</v>
      </c>
      <c r="U209" t="s">
        <v>547</v>
      </c>
      <c r="V209">
        <v>1505</v>
      </c>
      <c r="W209">
        <v>1505</v>
      </c>
      <c r="Z209" t="s">
        <v>890</v>
      </c>
      <c r="AA209" t="s">
        <v>549</v>
      </c>
      <c r="AB209" t="s">
        <v>748</v>
      </c>
      <c r="AC209" t="s">
        <v>550</v>
      </c>
      <c r="AD209" t="s">
        <v>551</v>
      </c>
      <c r="AE209" t="s">
        <v>307</v>
      </c>
      <c r="AF209" t="s">
        <v>887</v>
      </c>
      <c r="AI209" t="s">
        <v>688</v>
      </c>
      <c r="AJ209" t="s">
        <v>776</v>
      </c>
      <c r="AK209" t="s">
        <v>556</v>
      </c>
      <c r="AM209" t="s">
        <v>777</v>
      </c>
      <c r="AN209" t="s">
        <v>558</v>
      </c>
      <c r="AO209" t="s">
        <v>308</v>
      </c>
      <c r="AP209" t="s">
        <v>549</v>
      </c>
      <c r="AQ209" t="s">
        <v>549</v>
      </c>
      <c r="AR209" t="s">
        <v>888</v>
      </c>
      <c r="AS209" t="s">
        <v>307</v>
      </c>
      <c r="AT209" t="s">
        <v>887</v>
      </c>
      <c r="AW209" t="s">
        <v>688</v>
      </c>
      <c r="AX209" t="s">
        <v>776</v>
      </c>
      <c r="AY209" t="s">
        <v>556</v>
      </c>
      <c r="BA209" t="s">
        <v>777</v>
      </c>
      <c r="BB209" t="s">
        <v>558</v>
      </c>
      <c r="BC209" t="s">
        <v>308</v>
      </c>
      <c r="BD209" t="s">
        <v>888</v>
      </c>
      <c r="BH209" t="s">
        <v>560</v>
      </c>
      <c r="BI209" t="s">
        <v>561</v>
      </c>
      <c r="BK209" t="s">
        <v>607</v>
      </c>
      <c r="BL209" t="s">
        <v>562</v>
      </c>
      <c r="BM209" t="s">
        <v>1218</v>
      </c>
      <c r="BN209">
        <v>1</v>
      </c>
      <c r="BO209">
        <v>44.7</v>
      </c>
      <c r="BP209">
        <v>20</v>
      </c>
      <c r="BQ209">
        <v>66.67</v>
      </c>
      <c r="BR209" t="s">
        <v>549</v>
      </c>
    </row>
    <row r="210" spans="1:70">
      <c r="A210" t="s">
        <v>1219</v>
      </c>
      <c r="B210" t="s">
        <v>307</v>
      </c>
      <c r="C210" t="s">
        <v>883</v>
      </c>
      <c r="D210" t="s">
        <v>884</v>
      </c>
      <c r="E210" t="s">
        <v>309</v>
      </c>
      <c r="F210">
        <v>1</v>
      </c>
      <c r="G210" t="s">
        <v>539</v>
      </c>
      <c r="H210" t="s">
        <v>1220</v>
      </c>
      <c r="I210" t="s">
        <v>748</v>
      </c>
      <c r="J210" t="s">
        <v>542</v>
      </c>
      <c r="K210">
        <v>38556</v>
      </c>
      <c r="L210">
        <v>0</v>
      </c>
      <c r="M210" t="s">
        <v>570</v>
      </c>
      <c r="N210" t="s">
        <v>544</v>
      </c>
      <c r="O210">
        <v>381.74</v>
      </c>
      <c r="P210">
        <v>38556</v>
      </c>
      <c r="R210" t="s">
        <v>1221</v>
      </c>
      <c r="S210">
        <v>15</v>
      </c>
      <c r="T210" t="s">
        <v>704</v>
      </c>
      <c r="U210" t="s">
        <v>547</v>
      </c>
      <c r="V210">
        <v>2570.4</v>
      </c>
      <c r="W210">
        <v>3024</v>
      </c>
      <c r="X210">
        <v>2570.4</v>
      </c>
      <c r="Z210" t="s">
        <v>705</v>
      </c>
      <c r="AA210" t="s">
        <v>549</v>
      </c>
      <c r="AB210" t="s">
        <v>748</v>
      </c>
      <c r="AC210" t="s">
        <v>550</v>
      </c>
      <c r="AD210" t="s">
        <v>551</v>
      </c>
      <c r="AE210" t="s">
        <v>307</v>
      </c>
      <c r="AF210" t="s">
        <v>887</v>
      </c>
      <c r="AI210" t="s">
        <v>688</v>
      </c>
      <c r="AJ210" t="s">
        <v>776</v>
      </c>
      <c r="AK210" t="s">
        <v>556</v>
      </c>
      <c r="AM210" t="s">
        <v>777</v>
      </c>
      <c r="AN210" t="s">
        <v>558</v>
      </c>
      <c r="AO210" t="s">
        <v>308</v>
      </c>
      <c r="AP210" t="s">
        <v>549</v>
      </c>
      <c r="AQ210" t="s">
        <v>549</v>
      </c>
      <c r="AR210" t="s">
        <v>888</v>
      </c>
      <c r="AS210" t="s">
        <v>307</v>
      </c>
      <c r="AT210" t="s">
        <v>887</v>
      </c>
      <c r="AW210" t="s">
        <v>688</v>
      </c>
      <c r="AX210" t="s">
        <v>776</v>
      </c>
      <c r="AY210" t="s">
        <v>556</v>
      </c>
      <c r="BA210" t="s">
        <v>777</v>
      </c>
      <c r="BB210" t="s">
        <v>558</v>
      </c>
      <c r="BC210" t="s">
        <v>308</v>
      </c>
      <c r="BD210" t="s">
        <v>888</v>
      </c>
      <c r="BH210" t="s">
        <v>560</v>
      </c>
      <c r="BI210" t="s">
        <v>561</v>
      </c>
      <c r="BK210" t="s">
        <v>607</v>
      </c>
      <c r="BL210" t="s">
        <v>562</v>
      </c>
      <c r="BM210" t="s">
        <v>1222</v>
      </c>
      <c r="BN210">
        <v>1</v>
      </c>
      <c r="BO210">
        <v>381.74</v>
      </c>
      <c r="BR210" t="s">
        <v>549</v>
      </c>
    </row>
    <row r="211" spans="1:70">
      <c r="A211" t="s">
        <v>1223</v>
      </c>
      <c r="B211" t="s">
        <v>240</v>
      </c>
      <c r="C211" t="s">
        <v>1224</v>
      </c>
      <c r="D211" t="s">
        <v>1225</v>
      </c>
      <c r="E211" t="s">
        <v>242</v>
      </c>
      <c r="F211">
        <v>1</v>
      </c>
      <c r="G211" t="s">
        <v>539</v>
      </c>
      <c r="H211" t="s">
        <v>1226</v>
      </c>
      <c r="I211" t="s">
        <v>748</v>
      </c>
      <c r="J211" t="s">
        <v>542</v>
      </c>
      <c r="K211">
        <v>1911</v>
      </c>
      <c r="L211">
        <v>400</v>
      </c>
      <c r="M211" t="s">
        <v>543</v>
      </c>
      <c r="N211" t="s">
        <v>544</v>
      </c>
      <c r="O211">
        <v>85.59</v>
      </c>
      <c r="P211">
        <v>2311</v>
      </c>
      <c r="R211" t="s">
        <v>1227</v>
      </c>
      <c r="S211">
        <v>1</v>
      </c>
      <c r="T211" t="s">
        <v>616</v>
      </c>
      <c r="U211" t="s">
        <v>547</v>
      </c>
      <c r="V211">
        <v>1911</v>
      </c>
      <c r="W211">
        <v>1911</v>
      </c>
      <c r="Z211" t="s">
        <v>617</v>
      </c>
      <c r="AA211" t="s">
        <v>549</v>
      </c>
      <c r="AB211" t="s">
        <v>748</v>
      </c>
      <c r="AC211" t="s">
        <v>550</v>
      </c>
      <c r="AD211" t="s">
        <v>551</v>
      </c>
      <c r="AE211" t="s">
        <v>240</v>
      </c>
      <c r="AF211" t="s">
        <v>1228</v>
      </c>
      <c r="AI211" t="s">
        <v>1229</v>
      </c>
      <c r="AJ211" t="s">
        <v>1230</v>
      </c>
      <c r="AK211" t="s">
        <v>556</v>
      </c>
      <c r="AM211" t="s">
        <v>1231</v>
      </c>
      <c r="AN211" t="s">
        <v>558</v>
      </c>
      <c r="AO211" t="s">
        <v>241</v>
      </c>
      <c r="AP211" t="s">
        <v>549</v>
      </c>
      <c r="AQ211" t="s">
        <v>549</v>
      </c>
      <c r="AR211" t="s">
        <v>1232</v>
      </c>
      <c r="AS211" t="s">
        <v>240</v>
      </c>
      <c r="AT211" t="s">
        <v>1228</v>
      </c>
      <c r="AW211" t="s">
        <v>1229</v>
      </c>
      <c r="AX211" t="s">
        <v>1230</v>
      </c>
      <c r="AY211" t="s">
        <v>556</v>
      </c>
      <c r="BA211" t="s">
        <v>1231</v>
      </c>
      <c r="BB211" t="s">
        <v>558</v>
      </c>
      <c r="BC211" t="s">
        <v>241</v>
      </c>
      <c r="BD211" t="s">
        <v>1232</v>
      </c>
      <c r="BH211" t="s">
        <v>560</v>
      </c>
      <c r="BI211" t="s">
        <v>561</v>
      </c>
      <c r="BK211" t="s">
        <v>607</v>
      </c>
      <c r="BL211" t="s">
        <v>562</v>
      </c>
      <c r="BM211" t="s">
        <v>1233</v>
      </c>
      <c r="BN211">
        <v>1</v>
      </c>
      <c r="BO211">
        <v>18.920000000000002</v>
      </c>
      <c r="BP211">
        <v>20</v>
      </c>
      <c r="BQ211">
        <v>66.67</v>
      </c>
      <c r="BR211" t="s">
        <v>549</v>
      </c>
    </row>
    <row r="212" spans="1:70">
      <c r="A212" t="s">
        <v>1234</v>
      </c>
      <c r="B212" t="s">
        <v>286</v>
      </c>
      <c r="C212" t="s">
        <v>1235</v>
      </c>
      <c r="D212" t="s">
        <v>1236</v>
      </c>
      <c r="E212" t="s">
        <v>288</v>
      </c>
      <c r="F212">
        <v>1</v>
      </c>
      <c r="G212" t="s">
        <v>539</v>
      </c>
      <c r="H212" t="s">
        <v>1237</v>
      </c>
      <c r="I212" t="s">
        <v>748</v>
      </c>
      <c r="J212" t="s">
        <v>542</v>
      </c>
      <c r="K212">
        <v>9368.7999999999993</v>
      </c>
      <c r="L212">
        <v>400</v>
      </c>
      <c r="M212" t="s">
        <v>543</v>
      </c>
      <c r="N212" t="s">
        <v>544</v>
      </c>
      <c r="O212">
        <v>159.43</v>
      </c>
      <c r="P212">
        <v>9768.7999999999993</v>
      </c>
      <c r="R212" t="s">
        <v>1238</v>
      </c>
      <c r="S212">
        <v>1</v>
      </c>
      <c r="T212" t="s">
        <v>1033</v>
      </c>
      <c r="U212" t="s">
        <v>547</v>
      </c>
      <c r="V212">
        <v>3087</v>
      </c>
      <c r="W212">
        <v>3087</v>
      </c>
      <c r="Z212" t="s">
        <v>1034</v>
      </c>
      <c r="AA212" t="s">
        <v>549</v>
      </c>
      <c r="AB212" t="s">
        <v>748</v>
      </c>
      <c r="AC212" t="s">
        <v>550</v>
      </c>
      <c r="AD212" t="s">
        <v>551</v>
      </c>
      <c r="AE212" t="s">
        <v>1239</v>
      </c>
      <c r="AF212" t="s">
        <v>1240</v>
      </c>
      <c r="AG212" t="s">
        <v>1241</v>
      </c>
      <c r="AI212" t="s">
        <v>898</v>
      </c>
      <c r="AJ212" t="s">
        <v>1242</v>
      </c>
      <c r="AK212" t="s">
        <v>556</v>
      </c>
      <c r="AM212" t="s">
        <v>900</v>
      </c>
      <c r="AN212" t="s">
        <v>558</v>
      </c>
      <c r="AO212" t="s">
        <v>287</v>
      </c>
      <c r="AP212" t="s">
        <v>549</v>
      </c>
      <c r="AQ212" t="s">
        <v>549</v>
      </c>
      <c r="AR212" t="s">
        <v>1243</v>
      </c>
      <c r="AS212" t="s">
        <v>1239</v>
      </c>
      <c r="AT212" t="s">
        <v>1240</v>
      </c>
      <c r="AU212" t="s">
        <v>1241</v>
      </c>
      <c r="AW212" t="s">
        <v>898</v>
      </c>
      <c r="AX212" t="s">
        <v>1242</v>
      </c>
      <c r="AY212" t="s">
        <v>556</v>
      </c>
      <c r="BA212" t="s">
        <v>900</v>
      </c>
      <c r="BB212" t="s">
        <v>558</v>
      </c>
      <c r="BC212" t="s">
        <v>287</v>
      </c>
      <c r="BD212" t="s">
        <v>1243</v>
      </c>
      <c r="BH212" t="s">
        <v>560</v>
      </c>
      <c r="BI212" t="s">
        <v>561</v>
      </c>
      <c r="BK212" t="s">
        <v>607</v>
      </c>
      <c r="BL212" t="s">
        <v>562</v>
      </c>
      <c r="BM212" t="s">
        <v>1244</v>
      </c>
      <c r="BN212">
        <v>1</v>
      </c>
      <c r="BO212">
        <v>92.76</v>
      </c>
      <c r="BP212">
        <v>20</v>
      </c>
      <c r="BQ212">
        <v>66.67</v>
      </c>
      <c r="BR212" t="s">
        <v>549</v>
      </c>
    </row>
    <row r="213" spans="1:70">
      <c r="A213" t="s">
        <v>1234</v>
      </c>
      <c r="B213" t="s">
        <v>286</v>
      </c>
      <c r="C213" t="s">
        <v>1235</v>
      </c>
      <c r="D213" t="s">
        <v>1236</v>
      </c>
      <c r="E213" t="s">
        <v>288</v>
      </c>
      <c r="F213">
        <v>1</v>
      </c>
      <c r="H213" t="s">
        <v>1237</v>
      </c>
      <c r="R213" t="s">
        <v>1238</v>
      </c>
      <c r="S213">
        <v>1</v>
      </c>
      <c r="T213" t="s">
        <v>953</v>
      </c>
      <c r="U213" t="s">
        <v>547</v>
      </c>
      <c r="V213">
        <v>2779</v>
      </c>
      <c r="W213">
        <v>2779</v>
      </c>
      <c r="Z213" t="s">
        <v>954</v>
      </c>
      <c r="AA213" t="s">
        <v>549</v>
      </c>
      <c r="AB213" t="s">
        <v>748</v>
      </c>
      <c r="AC213" t="s">
        <v>550</v>
      </c>
      <c r="AD213" t="s">
        <v>551</v>
      </c>
      <c r="BR213" t="s">
        <v>549</v>
      </c>
    </row>
    <row r="214" spans="1:70">
      <c r="A214" t="s">
        <v>1234</v>
      </c>
      <c r="B214" t="s">
        <v>286</v>
      </c>
      <c r="C214" t="s">
        <v>1235</v>
      </c>
      <c r="D214" t="s">
        <v>1236</v>
      </c>
      <c r="E214" t="s">
        <v>288</v>
      </c>
      <c r="F214">
        <v>1</v>
      </c>
      <c r="H214" t="s">
        <v>1237</v>
      </c>
      <c r="R214" t="s">
        <v>1238</v>
      </c>
      <c r="S214">
        <v>1</v>
      </c>
      <c r="T214" t="s">
        <v>921</v>
      </c>
      <c r="U214" t="s">
        <v>547</v>
      </c>
      <c r="V214">
        <v>1890</v>
      </c>
      <c r="W214">
        <v>1890</v>
      </c>
      <c r="Z214" t="s">
        <v>922</v>
      </c>
      <c r="AA214" t="s">
        <v>549</v>
      </c>
      <c r="AB214" t="s">
        <v>748</v>
      </c>
      <c r="AC214" t="s">
        <v>550</v>
      </c>
      <c r="AD214" t="s">
        <v>551</v>
      </c>
      <c r="BR214" t="s">
        <v>549</v>
      </c>
    </row>
    <row r="215" spans="1:70">
      <c r="A215" t="s">
        <v>1234</v>
      </c>
      <c r="B215" t="s">
        <v>286</v>
      </c>
      <c r="C215" t="s">
        <v>1235</v>
      </c>
      <c r="D215" t="s">
        <v>1236</v>
      </c>
      <c r="E215" t="s">
        <v>288</v>
      </c>
      <c r="F215">
        <v>1</v>
      </c>
      <c r="H215" t="s">
        <v>1237</v>
      </c>
      <c r="R215" t="s">
        <v>1238</v>
      </c>
      <c r="S215">
        <v>2</v>
      </c>
      <c r="T215" t="s">
        <v>818</v>
      </c>
      <c r="U215" t="s">
        <v>547</v>
      </c>
      <c r="V215">
        <v>806.4</v>
      </c>
      <c r="W215">
        <v>806.4</v>
      </c>
      <c r="Z215" t="s">
        <v>819</v>
      </c>
      <c r="AA215" t="s">
        <v>549</v>
      </c>
      <c r="AB215" t="s">
        <v>748</v>
      </c>
      <c r="AC215" t="s">
        <v>550</v>
      </c>
      <c r="AD215" t="s">
        <v>551</v>
      </c>
      <c r="BR215" t="s">
        <v>549</v>
      </c>
    </row>
    <row r="216" spans="1:70">
      <c r="A216" t="s">
        <v>1245</v>
      </c>
      <c r="B216" t="s">
        <v>345</v>
      </c>
      <c r="C216" t="s">
        <v>1246</v>
      </c>
      <c r="D216" t="s">
        <v>1247</v>
      </c>
      <c r="E216" t="s">
        <v>347</v>
      </c>
      <c r="F216">
        <v>1</v>
      </c>
      <c r="G216" t="s">
        <v>539</v>
      </c>
      <c r="H216" t="s">
        <v>1248</v>
      </c>
      <c r="I216" t="s">
        <v>748</v>
      </c>
      <c r="J216" t="s">
        <v>542</v>
      </c>
      <c r="K216">
        <v>10080</v>
      </c>
      <c r="L216">
        <v>200</v>
      </c>
      <c r="M216" t="s">
        <v>543</v>
      </c>
      <c r="N216" t="s">
        <v>544</v>
      </c>
      <c r="O216">
        <v>133.13</v>
      </c>
      <c r="P216">
        <v>10280</v>
      </c>
      <c r="R216" t="s">
        <v>1249</v>
      </c>
      <c r="S216">
        <v>6</v>
      </c>
      <c r="T216" t="s">
        <v>837</v>
      </c>
      <c r="U216" t="s">
        <v>547</v>
      </c>
      <c r="V216">
        <v>1680</v>
      </c>
      <c r="W216">
        <v>1680</v>
      </c>
      <c r="Z216" t="s">
        <v>838</v>
      </c>
      <c r="AA216" t="s">
        <v>549</v>
      </c>
      <c r="AB216" t="s">
        <v>748</v>
      </c>
      <c r="AC216" t="s">
        <v>550</v>
      </c>
      <c r="AD216" t="s">
        <v>551</v>
      </c>
      <c r="AE216" t="s">
        <v>345</v>
      </c>
      <c r="AF216" t="s">
        <v>1250</v>
      </c>
      <c r="AI216" t="s">
        <v>1251</v>
      </c>
      <c r="AJ216" t="s">
        <v>1252</v>
      </c>
      <c r="AK216" t="s">
        <v>556</v>
      </c>
      <c r="AM216" t="s">
        <v>1253</v>
      </c>
      <c r="AN216" t="s">
        <v>558</v>
      </c>
      <c r="AO216" t="s">
        <v>346</v>
      </c>
      <c r="AP216" t="s">
        <v>549</v>
      </c>
      <c r="AQ216" t="s">
        <v>549</v>
      </c>
      <c r="AR216" t="s">
        <v>1254</v>
      </c>
      <c r="AS216" t="s">
        <v>345</v>
      </c>
      <c r="AT216" t="s">
        <v>1250</v>
      </c>
      <c r="AW216" t="s">
        <v>1251</v>
      </c>
      <c r="AX216" t="s">
        <v>1252</v>
      </c>
      <c r="AY216" t="s">
        <v>556</v>
      </c>
      <c r="BA216" t="s">
        <v>1253</v>
      </c>
      <c r="BB216" t="s">
        <v>558</v>
      </c>
      <c r="BC216" t="s">
        <v>346</v>
      </c>
      <c r="BD216" t="s">
        <v>1254</v>
      </c>
      <c r="BH216" t="s">
        <v>560</v>
      </c>
      <c r="BI216" t="s">
        <v>561</v>
      </c>
      <c r="BK216" t="s">
        <v>607</v>
      </c>
      <c r="BL216" t="s">
        <v>562</v>
      </c>
      <c r="BM216" t="s">
        <v>1255</v>
      </c>
      <c r="BN216">
        <v>1</v>
      </c>
      <c r="BO216">
        <v>99.8</v>
      </c>
      <c r="BP216">
        <v>20</v>
      </c>
      <c r="BQ216">
        <v>33.33</v>
      </c>
      <c r="BR216" t="s">
        <v>549</v>
      </c>
    </row>
    <row r="217" spans="1:70">
      <c r="A217" t="s">
        <v>1256</v>
      </c>
      <c r="B217" t="s">
        <v>43</v>
      </c>
      <c r="C217" t="s">
        <v>537</v>
      </c>
      <c r="D217" t="s">
        <v>538</v>
      </c>
      <c r="E217" t="s">
        <v>45</v>
      </c>
      <c r="F217">
        <v>4</v>
      </c>
      <c r="G217" t="s">
        <v>539</v>
      </c>
      <c r="H217" t="s">
        <v>1257</v>
      </c>
      <c r="I217" t="s">
        <v>748</v>
      </c>
      <c r="J217" t="s">
        <v>542</v>
      </c>
      <c r="K217">
        <v>8040.2</v>
      </c>
      <c r="L217">
        <v>400</v>
      </c>
      <c r="M217" t="s">
        <v>543</v>
      </c>
      <c r="N217" t="s">
        <v>544</v>
      </c>
      <c r="O217">
        <v>146.28</v>
      </c>
      <c r="P217">
        <v>8440.2000000000007</v>
      </c>
      <c r="R217" t="s">
        <v>1258</v>
      </c>
      <c r="S217">
        <v>1</v>
      </c>
      <c r="T217" t="s">
        <v>616</v>
      </c>
      <c r="U217" t="s">
        <v>547</v>
      </c>
      <c r="V217">
        <v>1505</v>
      </c>
      <c r="W217">
        <v>1505</v>
      </c>
      <c r="Z217" t="s">
        <v>890</v>
      </c>
      <c r="AA217" t="s">
        <v>549</v>
      </c>
      <c r="AB217" t="s">
        <v>748</v>
      </c>
      <c r="AC217" t="s">
        <v>550</v>
      </c>
      <c r="AD217" t="s">
        <v>551</v>
      </c>
      <c r="AE217" t="s">
        <v>43</v>
      </c>
      <c r="AF217" t="s">
        <v>552</v>
      </c>
      <c r="AG217" t="s">
        <v>553</v>
      </c>
      <c r="AI217" t="s">
        <v>554</v>
      </c>
      <c r="AJ217" t="s">
        <v>555</v>
      </c>
      <c r="AK217" t="s">
        <v>556</v>
      </c>
      <c r="AM217" t="s">
        <v>557</v>
      </c>
      <c r="AN217" t="s">
        <v>558</v>
      </c>
      <c r="AO217" t="s">
        <v>44</v>
      </c>
      <c r="AP217" t="s">
        <v>549</v>
      </c>
      <c r="AQ217" t="s">
        <v>549</v>
      </c>
      <c r="AR217" t="s">
        <v>559</v>
      </c>
      <c r="AS217" t="s">
        <v>43</v>
      </c>
      <c r="AT217" t="s">
        <v>552</v>
      </c>
      <c r="AU217" t="s">
        <v>553</v>
      </c>
      <c r="AW217" t="s">
        <v>554</v>
      </c>
      <c r="AX217" t="s">
        <v>555</v>
      </c>
      <c r="AY217" t="s">
        <v>556</v>
      </c>
      <c r="BA217" t="s">
        <v>557</v>
      </c>
      <c r="BB217" t="s">
        <v>558</v>
      </c>
      <c r="BC217" t="s">
        <v>44</v>
      </c>
      <c r="BD217" t="s">
        <v>559</v>
      </c>
      <c r="BH217" t="s">
        <v>560</v>
      </c>
      <c r="BI217" t="s">
        <v>561</v>
      </c>
      <c r="BK217" t="s">
        <v>607</v>
      </c>
      <c r="BL217" t="s">
        <v>562</v>
      </c>
      <c r="BM217" t="s">
        <v>1259</v>
      </c>
      <c r="BN217">
        <v>1</v>
      </c>
      <c r="BO217">
        <v>79.61</v>
      </c>
      <c r="BP217">
        <v>20</v>
      </c>
      <c r="BQ217">
        <v>66.67</v>
      </c>
      <c r="BR217" t="s">
        <v>549</v>
      </c>
    </row>
    <row r="218" spans="1:70">
      <c r="A218" t="s">
        <v>1256</v>
      </c>
      <c r="B218" t="s">
        <v>43</v>
      </c>
      <c r="C218" t="s">
        <v>537</v>
      </c>
      <c r="D218" t="s">
        <v>538</v>
      </c>
      <c r="E218" t="s">
        <v>45</v>
      </c>
      <c r="F218">
        <v>4</v>
      </c>
      <c r="H218" t="s">
        <v>1257</v>
      </c>
      <c r="R218" t="s">
        <v>1258</v>
      </c>
      <c r="S218">
        <v>1</v>
      </c>
      <c r="T218" t="s">
        <v>546</v>
      </c>
      <c r="U218" t="s">
        <v>547</v>
      </c>
      <c r="V218">
        <v>3847.2</v>
      </c>
      <c r="W218">
        <v>3847.2</v>
      </c>
      <c r="Z218" t="s">
        <v>548</v>
      </c>
      <c r="AA218" t="s">
        <v>549</v>
      </c>
      <c r="AB218" t="s">
        <v>748</v>
      </c>
      <c r="AC218" t="s">
        <v>550</v>
      </c>
      <c r="AD218" t="s">
        <v>551</v>
      </c>
      <c r="BR218" t="s">
        <v>549</v>
      </c>
    </row>
    <row r="219" spans="1:70">
      <c r="A219" t="s">
        <v>1256</v>
      </c>
      <c r="B219" t="s">
        <v>43</v>
      </c>
      <c r="C219" t="s">
        <v>537</v>
      </c>
      <c r="D219" t="s">
        <v>538</v>
      </c>
      <c r="E219" t="s">
        <v>45</v>
      </c>
      <c r="F219">
        <v>4</v>
      </c>
      <c r="H219" t="s">
        <v>1257</v>
      </c>
      <c r="R219" t="s">
        <v>1258</v>
      </c>
      <c r="S219">
        <v>1</v>
      </c>
      <c r="T219" t="s">
        <v>1260</v>
      </c>
      <c r="U219" t="s">
        <v>547</v>
      </c>
      <c r="V219">
        <v>2688</v>
      </c>
      <c r="W219">
        <v>2688</v>
      </c>
      <c r="Z219" t="s">
        <v>1261</v>
      </c>
      <c r="AA219" t="s">
        <v>549</v>
      </c>
      <c r="AB219" t="s">
        <v>748</v>
      </c>
      <c r="AC219" t="s">
        <v>550</v>
      </c>
      <c r="AD219" t="s">
        <v>551</v>
      </c>
      <c r="BR219" t="s">
        <v>549</v>
      </c>
    </row>
    <row r="220" spans="1:70">
      <c r="A220" t="s">
        <v>1262</v>
      </c>
      <c r="B220" t="s">
        <v>1263</v>
      </c>
      <c r="C220" t="s">
        <v>1264</v>
      </c>
      <c r="D220" t="s">
        <v>1265</v>
      </c>
      <c r="E220" t="s">
        <v>197</v>
      </c>
      <c r="F220">
        <v>1</v>
      </c>
      <c r="G220" t="s">
        <v>1140</v>
      </c>
      <c r="H220" t="s">
        <v>1266</v>
      </c>
      <c r="I220" t="s">
        <v>1142</v>
      </c>
      <c r="J220" t="s">
        <v>542</v>
      </c>
      <c r="K220">
        <v>5243.11</v>
      </c>
      <c r="L220">
        <v>400</v>
      </c>
      <c r="M220" t="s">
        <v>543</v>
      </c>
      <c r="N220" t="s">
        <v>544</v>
      </c>
      <c r="O220">
        <v>118.58</v>
      </c>
      <c r="P220">
        <v>5643.11</v>
      </c>
      <c r="R220" t="s">
        <v>1267</v>
      </c>
      <c r="S220">
        <v>1</v>
      </c>
      <c r="T220" t="s">
        <v>1268</v>
      </c>
      <c r="U220" t="s">
        <v>547</v>
      </c>
      <c r="V220">
        <v>2053.13</v>
      </c>
      <c r="W220">
        <v>2053.13</v>
      </c>
      <c r="Z220" t="s">
        <v>1269</v>
      </c>
      <c r="AA220" t="s">
        <v>549</v>
      </c>
      <c r="AB220" t="s">
        <v>1142</v>
      </c>
      <c r="AC220" t="s">
        <v>550</v>
      </c>
      <c r="AD220" t="s">
        <v>551</v>
      </c>
      <c r="AE220" t="s">
        <v>1263</v>
      </c>
      <c r="AF220" t="s">
        <v>1270</v>
      </c>
      <c r="AG220" t="s">
        <v>1271</v>
      </c>
      <c r="AH220" t="s">
        <v>1272</v>
      </c>
      <c r="AI220" t="s">
        <v>688</v>
      </c>
      <c r="AJ220" t="s">
        <v>689</v>
      </c>
      <c r="AK220" t="s">
        <v>556</v>
      </c>
      <c r="AM220" t="s">
        <v>690</v>
      </c>
      <c r="AN220" t="s">
        <v>558</v>
      </c>
      <c r="AO220" t="s">
        <v>196</v>
      </c>
      <c r="AP220" t="s">
        <v>1273</v>
      </c>
      <c r="AQ220" t="s">
        <v>688</v>
      </c>
      <c r="AR220" t="s">
        <v>1273</v>
      </c>
      <c r="AS220" t="s">
        <v>1263</v>
      </c>
      <c r="AT220" t="s">
        <v>1270</v>
      </c>
      <c r="AU220" t="s">
        <v>1271</v>
      </c>
      <c r="AV220" t="s">
        <v>1272</v>
      </c>
      <c r="AW220" t="s">
        <v>688</v>
      </c>
      <c r="AX220" t="s">
        <v>689</v>
      </c>
      <c r="AY220" t="s">
        <v>556</v>
      </c>
      <c r="BA220" t="s">
        <v>690</v>
      </c>
      <c r="BB220" t="s">
        <v>558</v>
      </c>
      <c r="BC220" t="s">
        <v>196</v>
      </c>
      <c r="BD220" t="s">
        <v>1273</v>
      </c>
      <c r="BH220" t="s">
        <v>560</v>
      </c>
      <c r="BI220" t="s">
        <v>561</v>
      </c>
      <c r="BK220" t="s">
        <v>607</v>
      </c>
      <c r="BL220" t="s">
        <v>562</v>
      </c>
      <c r="BM220" t="s">
        <v>1274</v>
      </c>
      <c r="BN220">
        <v>1</v>
      </c>
      <c r="BO220">
        <v>51.91</v>
      </c>
      <c r="BP220">
        <v>20</v>
      </c>
      <c r="BQ220">
        <v>66.67</v>
      </c>
      <c r="BR220" t="s">
        <v>549</v>
      </c>
    </row>
    <row r="221" spans="1:70">
      <c r="A221" t="s">
        <v>1262</v>
      </c>
      <c r="B221" t="s">
        <v>1263</v>
      </c>
      <c r="C221" t="s">
        <v>1264</v>
      </c>
      <c r="D221" t="s">
        <v>1265</v>
      </c>
      <c r="E221" t="s">
        <v>197</v>
      </c>
      <c r="F221">
        <v>1</v>
      </c>
      <c r="H221" t="s">
        <v>1266</v>
      </c>
      <c r="R221" t="s">
        <v>1267</v>
      </c>
      <c r="S221">
        <v>1</v>
      </c>
      <c r="T221" t="s">
        <v>630</v>
      </c>
      <c r="U221" t="s">
        <v>547</v>
      </c>
      <c r="V221">
        <v>3189.98</v>
      </c>
      <c r="W221">
        <v>3189.98</v>
      </c>
      <c r="Z221" t="s">
        <v>631</v>
      </c>
      <c r="AA221" t="s">
        <v>549</v>
      </c>
      <c r="AB221" t="s">
        <v>1142</v>
      </c>
      <c r="AC221" t="s">
        <v>550</v>
      </c>
      <c r="AD221" t="s">
        <v>551</v>
      </c>
      <c r="BR221" t="s">
        <v>549</v>
      </c>
    </row>
    <row r="222" spans="1:70">
      <c r="A222" t="s">
        <v>1275</v>
      </c>
      <c r="B222" t="s">
        <v>384</v>
      </c>
      <c r="C222" t="s">
        <v>1276</v>
      </c>
      <c r="D222" t="s">
        <v>1277</v>
      </c>
      <c r="E222" t="s">
        <v>385</v>
      </c>
      <c r="F222">
        <v>1</v>
      </c>
      <c r="G222" t="s">
        <v>539</v>
      </c>
      <c r="H222" t="s">
        <v>1278</v>
      </c>
      <c r="I222" t="s">
        <v>748</v>
      </c>
      <c r="J222" t="s">
        <v>542</v>
      </c>
      <c r="K222">
        <v>2865.88</v>
      </c>
      <c r="L222">
        <v>400</v>
      </c>
      <c r="M222" t="s">
        <v>543</v>
      </c>
      <c r="N222" t="s">
        <v>544</v>
      </c>
      <c r="O222">
        <v>95.05</v>
      </c>
      <c r="P222">
        <v>3265.88</v>
      </c>
      <c r="R222" t="s">
        <v>1279</v>
      </c>
      <c r="S222">
        <v>1</v>
      </c>
      <c r="T222" t="s">
        <v>921</v>
      </c>
      <c r="U222" t="s">
        <v>547</v>
      </c>
      <c r="V222">
        <v>1578.13</v>
      </c>
      <c r="W222">
        <v>1578.13</v>
      </c>
      <c r="Z222" t="s">
        <v>922</v>
      </c>
      <c r="AA222" t="s">
        <v>549</v>
      </c>
      <c r="AB222" t="s">
        <v>748</v>
      </c>
      <c r="AC222" t="s">
        <v>550</v>
      </c>
      <c r="AD222" t="s">
        <v>551</v>
      </c>
      <c r="AE222" t="s">
        <v>384</v>
      </c>
      <c r="AF222" t="s">
        <v>1280</v>
      </c>
      <c r="AG222" t="s">
        <v>1281</v>
      </c>
      <c r="AH222" t="s">
        <v>1282</v>
      </c>
      <c r="AI222" t="s">
        <v>554</v>
      </c>
      <c r="AJ222" t="s">
        <v>640</v>
      </c>
      <c r="AK222" t="s">
        <v>556</v>
      </c>
      <c r="AM222" t="s">
        <v>641</v>
      </c>
      <c r="AN222" t="s">
        <v>558</v>
      </c>
      <c r="AO222" t="s">
        <v>1283</v>
      </c>
      <c r="AP222" t="s">
        <v>1284</v>
      </c>
      <c r="AQ222" t="s">
        <v>641</v>
      </c>
      <c r="AR222" t="s">
        <v>1285</v>
      </c>
      <c r="AS222" t="s">
        <v>384</v>
      </c>
      <c r="AT222" t="s">
        <v>1280</v>
      </c>
      <c r="AU222" t="s">
        <v>1281</v>
      </c>
      <c r="AV222" t="s">
        <v>1282</v>
      </c>
      <c r="AW222" t="s">
        <v>554</v>
      </c>
      <c r="AX222" t="s">
        <v>640</v>
      </c>
      <c r="AY222" t="s">
        <v>556</v>
      </c>
      <c r="BA222" t="s">
        <v>641</v>
      </c>
      <c r="BB222" t="s">
        <v>558</v>
      </c>
      <c r="BC222" t="s">
        <v>1283</v>
      </c>
      <c r="BD222" t="s">
        <v>1285</v>
      </c>
      <c r="BH222" t="s">
        <v>560</v>
      </c>
      <c r="BI222" t="s">
        <v>561</v>
      </c>
      <c r="BK222" t="s">
        <v>607</v>
      </c>
      <c r="BL222" t="s">
        <v>562</v>
      </c>
      <c r="BM222" t="s">
        <v>1286</v>
      </c>
      <c r="BN222">
        <v>1</v>
      </c>
      <c r="BO222">
        <v>28.38</v>
      </c>
      <c r="BP222">
        <v>20</v>
      </c>
      <c r="BQ222">
        <v>66.67</v>
      </c>
      <c r="BR222" t="s">
        <v>549</v>
      </c>
    </row>
    <row r="223" spans="1:70">
      <c r="A223" t="s">
        <v>1275</v>
      </c>
      <c r="B223" t="s">
        <v>384</v>
      </c>
      <c r="C223" t="s">
        <v>1276</v>
      </c>
      <c r="D223" t="s">
        <v>1277</v>
      </c>
      <c r="E223" t="s">
        <v>385</v>
      </c>
      <c r="F223">
        <v>1</v>
      </c>
      <c r="H223" t="s">
        <v>1278</v>
      </c>
      <c r="R223" t="s">
        <v>1279</v>
      </c>
      <c r="S223">
        <v>1</v>
      </c>
      <c r="T223" t="s">
        <v>1287</v>
      </c>
      <c r="U223" t="s">
        <v>547</v>
      </c>
      <c r="V223">
        <v>1287.75</v>
      </c>
      <c r="W223">
        <v>1515</v>
      </c>
      <c r="X223">
        <v>1287.75</v>
      </c>
      <c r="Z223" t="s">
        <v>1288</v>
      </c>
      <c r="AA223" t="s">
        <v>549</v>
      </c>
      <c r="AB223" t="s">
        <v>748</v>
      </c>
      <c r="AC223" t="s">
        <v>550</v>
      </c>
      <c r="AD223" t="s">
        <v>551</v>
      </c>
      <c r="BR223" t="s">
        <v>549</v>
      </c>
    </row>
    <row r="224" spans="1:70">
      <c r="A224" t="s">
        <v>1289</v>
      </c>
      <c r="B224" t="s">
        <v>386</v>
      </c>
      <c r="C224" t="s">
        <v>1290</v>
      </c>
      <c r="D224" t="s">
        <v>1291</v>
      </c>
      <c r="E224" t="s">
        <v>387</v>
      </c>
      <c r="F224">
        <v>3</v>
      </c>
      <c r="G224" t="s">
        <v>539</v>
      </c>
      <c r="H224" t="s">
        <v>1292</v>
      </c>
      <c r="I224" t="s">
        <v>748</v>
      </c>
      <c r="J224" t="s">
        <v>542</v>
      </c>
      <c r="K224">
        <v>28860.75</v>
      </c>
      <c r="L224">
        <v>0</v>
      </c>
      <c r="M224" t="s">
        <v>570</v>
      </c>
      <c r="N224" t="s">
        <v>544</v>
      </c>
      <c r="O224">
        <v>242.89</v>
      </c>
      <c r="P224">
        <v>24531.65</v>
      </c>
      <c r="R224" t="s">
        <v>1293</v>
      </c>
      <c r="S224">
        <v>3</v>
      </c>
      <c r="T224" t="s">
        <v>1053</v>
      </c>
      <c r="U224" t="s">
        <v>547</v>
      </c>
      <c r="V224">
        <v>5902.19</v>
      </c>
      <c r="W224">
        <v>6943.75</v>
      </c>
      <c r="Z224" t="s">
        <v>1054</v>
      </c>
      <c r="AA224" t="s">
        <v>549</v>
      </c>
      <c r="AB224" t="s">
        <v>748</v>
      </c>
      <c r="AC224" t="s">
        <v>550</v>
      </c>
      <c r="AD224" t="s">
        <v>551</v>
      </c>
      <c r="AE224" t="s">
        <v>386</v>
      </c>
      <c r="AF224" t="s">
        <v>1294</v>
      </c>
      <c r="AG224" t="s">
        <v>1295</v>
      </c>
      <c r="AH224" t="s">
        <v>1296</v>
      </c>
      <c r="AI224" t="s">
        <v>577</v>
      </c>
      <c r="AJ224" t="s">
        <v>1297</v>
      </c>
      <c r="AK224" t="s">
        <v>556</v>
      </c>
      <c r="AM224" t="s">
        <v>579</v>
      </c>
      <c r="AN224" t="s">
        <v>558</v>
      </c>
      <c r="AO224" t="s">
        <v>1298</v>
      </c>
      <c r="AP224" t="s">
        <v>1299</v>
      </c>
      <c r="AQ224" t="s">
        <v>1300</v>
      </c>
      <c r="AR224" t="s">
        <v>1301</v>
      </c>
      <c r="AS224" t="s">
        <v>386</v>
      </c>
      <c r="AT224" t="s">
        <v>1302</v>
      </c>
      <c r="AU224" t="s">
        <v>1303</v>
      </c>
      <c r="AV224" t="s">
        <v>1296</v>
      </c>
      <c r="AW224" t="s">
        <v>577</v>
      </c>
      <c r="AX224" t="s">
        <v>1304</v>
      </c>
      <c r="AY224" t="s">
        <v>556</v>
      </c>
      <c r="BA224" t="s">
        <v>579</v>
      </c>
      <c r="BB224" t="s">
        <v>558</v>
      </c>
      <c r="BC224" t="s">
        <v>1305</v>
      </c>
      <c r="BD224" t="s">
        <v>1301</v>
      </c>
      <c r="BH224" t="s">
        <v>560</v>
      </c>
      <c r="BI224" t="s">
        <v>561</v>
      </c>
      <c r="BK224" t="s">
        <v>607</v>
      </c>
      <c r="BL224" t="s">
        <v>562</v>
      </c>
      <c r="BM224" t="s">
        <v>1306</v>
      </c>
      <c r="BN224">
        <v>1</v>
      </c>
      <c r="BO224">
        <v>242.89</v>
      </c>
      <c r="BR224" t="s">
        <v>1307</v>
      </c>
    </row>
    <row r="225" spans="1:70">
      <c r="A225" t="s">
        <v>1289</v>
      </c>
      <c r="B225" t="s">
        <v>386</v>
      </c>
      <c r="C225" t="s">
        <v>1290</v>
      </c>
      <c r="D225" t="s">
        <v>1291</v>
      </c>
      <c r="E225" t="s">
        <v>387</v>
      </c>
      <c r="F225">
        <v>3</v>
      </c>
      <c r="H225" t="s">
        <v>1292</v>
      </c>
      <c r="R225" t="s">
        <v>1293</v>
      </c>
      <c r="S225">
        <v>2</v>
      </c>
      <c r="T225" t="s">
        <v>588</v>
      </c>
      <c r="U225" t="s">
        <v>547</v>
      </c>
      <c r="V225">
        <v>3412.54</v>
      </c>
      <c r="W225">
        <v>4014.75</v>
      </c>
      <c r="Z225" t="s">
        <v>589</v>
      </c>
      <c r="AA225" t="s">
        <v>549</v>
      </c>
      <c r="AB225" t="s">
        <v>748</v>
      </c>
      <c r="AC225" t="s">
        <v>550</v>
      </c>
      <c r="AD225" t="s">
        <v>551</v>
      </c>
      <c r="BR225" t="s">
        <v>1307</v>
      </c>
    </row>
    <row r="226" spans="1:70">
      <c r="A226" t="s">
        <v>1308</v>
      </c>
      <c r="B226" t="s">
        <v>83</v>
      </c>
      <c r="C226" t="s">
        <v>903</v>
      </c>
      <c r="D226" t="s">
        <v>904</v>
      </c>
      <c r="E226" t="s">
        <v>85</v>
      </c>
      <c r="F226">
        <v>3</v>
      </c>
      <c r="G226" t="s">
        <v>539</v>
      </c>
      <c r="H226" t="s">
        <v>1309</v>
      </c>
      <c r="I226" t="s">
        <v>748</v>
      </c>
      <c r="J226" t="s">
        <v>542</v>
      </c>
      <c r="K226">
        <v>3345.63</v>
      </c>
      <c r="L226">
        <v>400</v>
      </c>
      <c r="M226" t="s">
        <v>543</v>
      </c>
      <c r="N226" t="s">
        <v>544</v>
      </c>
      <c r="O226">
        <v>99.8</v>
      </c>
      <c r="P226">
        <v>3745.63</v>
      </c>
      <c r="R226" t="s">
        <v>1310</v>
      </c>
      <c r="S226">
        <v>1</v>
      </c>
      <c r="T226" t="s">
        <v>907</v>
      </c>
      <c r="U226" t="s">
        <v>547</v>
      </c>
      <c r="V226">
        <v>3345.63</v>
      </c>
      <c r="W226">
        <v>3345.63</v>
      </c>
      <c r="Z226" t="s">
        <v>908</v>
      </c>
      <c r="AA226" t="s">
        <v>549</v>
      </c>
      <c r="AB226" t="s">
        <v>748</v>
      </c>
      <c r="AC226" t="s">
        <v>550</v>
      </c>
      <c r="AD226" t="s">
        <v>551</v>
      </c>
      <c r="AE226" t="s">
        <v>909</v>
      </c>
      <c r="AF226" t="s">
        <v>910</v>
      </c>
      <c r="AH226" t="s">
        <v>911</v>
      </c>
      <c r="AI226" t="s">
        <v>688</v>
      </c>
      <c r="AJ226" t="s">
        <v>912</v>
      </c>
      <c r="AK226" t="s">
        <v>556</v>
      </c>
      <c r="AM226" t="s">
        <v>690</v>
      </c>
      <c r="AN226" t="s">
        <v>558</v>
      </c>
      <c r="AO226" t="s">
        <v>84</v>
      </c>
      <c r="AP226" t="s">
        <v>913</v>
      </c>
      <c r="AQ226" t="s">
        <v>688</v>
      </c>
      <c r="AR226" t="s">
        <v>914</v>
      </c>
      <c r="AS226" t="s">
        <v>909</v>
      </c>
      <c r="AT226" t="s">
        <v>910</v>
      </c>
      <c r="AV226" t="s">
        <v>911</v>
      </c>
      <c r="AW226" t="s">
        <v>688</v>
      </c>
      <c r="AX226" t="s">
        <v>912</v>
      </c>
      <c r="AY226" t="s">
        <v>556</v>
      </c>
      <c r="BA226" t="s">
        <v>690</v>
      </c>
      <c r="BB226" t="s">
        <v>558</v>
      </c>
      <c r="BC226" t="s">
        <v>84</v>
      </c>
      <c r="BD226" t="s">
        <v>914</v>
      </c>
      <c r="BH226" t="s">
        <v>560</v>
      </c>
      <c r="BI226" t="s">
        <v>561</v>
      </c>
      <c r="BK226" t="s">
        <v>607</v>
      </c>
      <c r="BL226" t="s">
        <v>562</v>
      </c>
      <c r="BM226" t="s">
        <v>1311</v>
      </c>
      <c r="BN226">
        <v>1</v>
      </c>
      <c r="BO226">
        <v>33.130000000000003</v>
      </c>
      <c r="BP226">
        <v>20</v>
      </c>
      <c r="BQ226">
        <v>66.67</v>
      </c>
      <c r="BR226" t="s">
        <v>549</v>
      </c>
    </row>
    <row r="227" spans="1:70">
      <c r="A227" t="s">
        <v>1312</v>
      </c>
      <c r="B227" t="s">
        <v>1313</v>
      </c>
      <c r="C227" t="s">
        <v>1314</v>
      </c>
      <c r="D227" t="s">
        <v>1315</v>
      </c>
      <c r="E227" t="s">
        <v>200</v>
      </c>
      <c r="F227">
        <v>1</v>
      </c>
      <c r="G227" t="s">
        <v>1140</v>
      </c>
      <c r="H227" t="s">
        <v>1316</v>
      </c>
      <c r="I227" t="s">
        <v>1142</v>
      </c>
      <c r="J227" t="s">
        <v>542</v>
      </c>
      <c r="K227">
        <v>3913.76</v>
      </c>
      <c r="L227">
        <v>400</v>
      </c>
      <c r="M227" t="s">
        <v>543</v>
      </c>
      <c r="N227" t="s">
        <v>544</v>
      </c>
      <c r="O227">
        <v>105.42</v>
      </c>
      <c r="P227">
        <v>4313.76</v>
      </c>
      <c r="R227" t="s">
        <v>1317</v>
      </c>
      <c r="S227">
        <v>1</v>
      </c>
      <c r="T227" t="s">
        <v>704</v>
      </c>
      <c r="U227" t="s">
        <v>547</v>
      </c>
      <c r="V227">
        <v>2461.88</v>
      </c>
      <c r="W227">
        <v>2461.88</v>
      </c>
      <c r="Z227" t="s">
        <v>705</v>
      </c>
      <c r="AA227" t="s">
        <v>549</v>
      </c>
      <c r="AB227" t="s">
        <v>1142</v>
      </c>
      <c r="AC227" t="s">
        <v>550</v>
      </c>
      <c r="AD227" t="s">
        <v>551</v>
      </c>
      <c r="AE227" t="s">
        <v>1318</v>
      </c>
      <c r="AF227" t="s">
        <v>1319</v>
      </c>
      <c r="AI227" t="s">
        <v>601</v>
      </c>
      <c r="AJ227" t="s">
        <v>1071</v>
      </c>
      <c r="AK227" t="s">
        <v>556</v>
      </c>
      <c r="AM227" t="s">
        <v>1072</v>
      </c>
      <c r="AN227" t="s">
        <v>558</v>
      </c>
      <c r="AO227" t="s">
        <v>199</v>
      </c>
      <c r="AP227" t="s">
        <v>549</v>
      </c>
      <c r="AQ227" t="s">
        <v>549</v>
      </c>
      <c r="AR227" t="s">
        <v>1320</v>
      </c>
      <c r="AS227" t="s">
        <v>1318</v>
      </c>
      <c r="AT227" t="s">
        <v>1319</v>
      </c>
      <c r="AW227" t="s">
        <v>601</v>
      </c>
      <c r="AX227" t="s">
        <v>1071</v>
      </c>
      <c r="AY227" t="s">
        <v>556</v>
      </c>
      <c r="BA227" t="s">
        <v>1072</v>
      </c>
      <c r="BB227" t="s">
        <v>558</v>
      </c>
      <c r="BC227" t="s">
        <v>199</v>
      </c>
      <c r="BD227" t="s">
        <v>1320</v>
      </c>
      <c r="BH227" t="s">
        <v>560</v>
      </c>
      <c r="BI227" t="s">
        <v>561</v>
      </c>
      <c r="BK227" t="s">
        <v>607</v>
      </c>
      <c r="BL227" t="s">
        <v>562</v>
      </c>
      <c r="BM227" t="s">
        <v>1321</v>
      </c>
      <c r="BN227">
        <v>1</v>
      </c>
      <c r="BO227">
        <v>38.75</v>
      </c>
      <c r="BP227">
        <v>20</v>
      </c>
      <c r="BQ227">
        <v>66.67</v>
      </c>
      <c r="BR227" t="s">
        <v>549</v>
      </c>
    </row>
    <row r="228" spans="1:70">
      <c r="A228" t="s">
        <v>1312</v>
      </c>
      <c r="B228" t="s">
        <v>1313</v>
      </c>
      <c r="C228" t="s">
        <v>1314</v>
      </c>
      <c r="D228" t="s">
        <v>1315</v>
      </c>
      <c r="E228" t="s">
        <v>200</v>
      </c>
      <c r="F228">
        <v>1</v>
      </c>
      <c r="H228" t="s">
        <v>1316</v>
      </c>
      <c r="R228" t="s">
        <v>1317</v>
      </c>
      <c r="S228">
        <v>2</v>
      </c>
      <c r="T228" t="s">
        <v>818</v>
      </c>
      <c r="U228" t="s">
        <v>547</v>
      </c>
      <c r="V228">
        <v>725.94</v>
      </c>
      <c r="W228">
        <v>725.94</v>
      </c>
      <c r="Z228" t="s">
        <v>819</v>
      </c>
      <c r="AA228" t="s">
        <v>549</v>
      </c>
      <c r="AB228" t="s">
        <v>1142</v>
      </c>
      <c r="AC228" t="s">
        <v>550</v>
      </c>
      <c r="AD228" t="s">
        <v>551</v>
      </c>
      <c r="BR228" t="s">
        <v>549</v>
      </c>
    </row>
    <row r="229" spans="1:70">
      <c r="A229" t="s">
        <v>1322</v>
      </c>
      <c r="B229" t="s">
        <v>192</v>
      </c>
      <c r="C229" t="s">
        <v>1323</v>
      </c>
      <c r="D229" t="s">
        <v>1324</v>
      </c>
      <c r="E229" t="s">
        <v>194</v>
      </c>
      <c r="F229">
        <v>1</v>
      </c>
      <c r="G229" t="s">
        <v>539</v>
      </c>
      <c r="H229" t="s">
        <v>1325</v>
      </c>
      <c r="I229" t="s">
        <v>748</v>
      </c>
      <c r="J229" t="s">
        <v>542</v>
      </c>
      <c r="K229">
        <v>11008.9</v>
      </c>
      <c r="L229">
        <v>200</v>
      </c>
      <c r="M229" t="s">
        <v>543</v>
      </c>
      <c r="N229" t="s">
        <v>544</v>
      </c>
      <c r="O229">
        <v>136.88</v>
      </c>
      <c r="P229">
        <v>10658.46</v>
      </c>
      <c r="Q229">
        <v>550.44000000000005</v>
      </c>
      <c r="R229" t="s">
        <v>1326</v>
      </c>
      <c r="S229">
        <v>1</v>
      </c>
      <c r="T229" t="s">
        <v>586</v>
      </c>
      <c r="U229" t="s">
        <v>547</v>
      </c>
      <c r="V229">
        <v>5037.38</v>
      </c>
      <c r="W229">
        <v>5302.5</v>
      </c>
      <c r="Z229" t="s">
        <v>587</v>
      </c>
      <c r="AA229" t="s">
        <v>549</v>
      </c>
      <c r="AB229" t="s">
        <v>748</v>
      </c>
      <c r="AC229" t="s">
        <v>550</v>
      </c>
      <c r="AD229" t="s">
        <v>551</v>
      </c>
      <c r="AE229" t="s">
        <v>192</v>
      </c>
      <c r="AF229" t="s">
        <v>1327</v>
      </c>
      <c r="AI229" t="s">
        <v>803</v>
      </c>
      <c r="AJ229" t="s">
        <v>1328</v>
      </c>
      <c r="AK229" t="s">
        <v>556</v>
      </c>
      <c r="AM229" t="s">
        <v>1329</v>
      </c>
      <c r="AN229" t="s">
        <v>558</v>
      </c>
      <c r="AO229" t="s">
        <v>193</v>
      </c>
      <c r="AP229" t="s">
        <v>549</v>
      </c>
      <c r="AQ229" t="s">
        <v>549</v>
      </c>
      <c r="AR229" t="s">
        <v>1330</v>
      </c>
      <c r="AS229" t="s">
        <v>192</v>
      </c>
      <c r="AT229" t="s">
        <v>1327</v>
      </c>
      <c r="AW229" t="s">
        <v>803</v>
      </c>
      <c r="AX229" t="s">
        <v>1328</v>
      </c>
      <c r="AY229" t="s">
        <v>556</v>
      </c>
      <c r="BA229" t="s">
        <v>1329</v>
      </c>
      <c r="BB229" t="s">
        <v>558</v>
      </c>
      <c r="BC229" t="s">
        <v>193</v>
      </c>
      <c r="BD229" t="s">
        <v>1330</v>
      </c>
      <c r="BH229" t="s">
        <v>560</v>
      </c>
      <c r="BI229" t="s">
        <v>561</v>
      </c>
      <c r="BK229" t="s">
        <v>607</v>
      </c>
      <c r="BL229" t="s">
        <v>562</v>
      </c>
      <c r="BM229" t="s">
        <v>1331</v>
      </c>
      <c r="BN229">
        <v>1</v>
      </c>
      <c r="BO229">
        <v>103.55</v>
      </c>
      <c r="BP229">
        <v>20</v>
      </c>
      <c r="BQ229">
        <v>33.33</v>
      </c>
      <c r="BR229" t="s">
        <v>549</v>
      </c>
    </row>
    <row r="230" spans="1:70">
      <c r="A230" t="s">
        <v>1322</v>
      </c>
      <c r="B230" t="s">
        <v>192</v>
      </c>
      <c r="C230" t="s">
        <v>1323</v>
      </c>
      <c r="D230" t="s">
        <v>1324</v>
      </c>
      <c r="E230" t="s">
        <v>194</v>
      </c>
      <c r="F230">
        <v>1</v>
      </c>
      <c r="H230" t="s">
        <v>1325</v>
      </c>
      <c r="R230" t="s">
        <v>1326</v>
      </c>
      <c r="S230">
        <v>1</v>
      </c>
      <c r="T230" t="s">
        <v>1332</v>
      </c>
      <c r="U230" t="s">
        <v>547</v>
      </c>
      <c r="V230">
        <v>2302.8000000000002</v>
      </c>
      <c r="W230">
        <v>2424</v>
      </c>
      <c r="Z230" t="s">
        <v>1333</v>
      </c>
      <c r="AA230" t="s">
        <v>549</v>
      </c>
      <c r="AB230" t="s">
        <v>748</v>
      </c>
      <c r="AC230" t="s">
        <v>550</v>
      </c>
      <c r="AD230" t="s">
        <v>551</v>
      </c>
      <c r="BR230" t="s">
        <v>549</v>
      </c>
    </row>
    <row r="231" spans="1:70">
      <c r="A231" t="s">
        <v>1322</v>
      </c>
      <c r="B231" t="s">
        <v>192</v>
      </c>
      <c r="C231" t="s">
        <v>1323</v>
      </c>
      <c r="D231" t="s">
        <v>1324</v>
      </c>
      <c r="E231" t="s">
        <v>194</v>
      </c>
      <c r="F231">
        <v>1</v>
      </c>
      <c r="H231" t="s">
        <v>1325</v>
      </c>
      <c r="R231" t="s">
        <v>1326</v>
      </c>
      <c r="S231">
        <v>1</v>
      </c>
      <c r="T231" t="s">
        <v>1334</v>
      </c>
      <c r="U231" t="s">
        <v>547</v>
      </c>
      <c r="V231">
        <v>3118.28</v>
      </c>
      <c r="W231">
        <v>3282.4</v>
      </c>
      <c r="Z231" t="s">
        <v>1335</v>
      </c>
      <c r="AA231" t="s">
        <v>549</v>
      </c>
      <c r="AB231" t="s">
        <v>748</v>
      </c>
      <c r="AC231" t="s">
        <v>550</v>
      </c>
      <c r="AD231" t="s">
        <v>551</v>
      </c>
      <c r="BR231" t="s">
        <v>549</v>
      </c>
    </row>
    <row r="232" spans="1:70">
      <c r="A232" t="s">
        <v>1336</v>
      </c>
      <c r="B232" t="s">
        <v>83</v>
      </c>
      <c r="C232" t="s">
        <v>903</v>
      </c>
      <c r="D232" t="s">
        <v>904</v>
      </c>
      <c r="E232" t="s">
        <v>85</v>
      </c>
      <c r="F232">
        <v>2</v>
      </c>
      <c r="G232" t="s">
        <v>539</v>
      </c>
      <c r="H232" t="s">
        <v>1337</v>
      </c>
      <c r="I232" t="s">
        <v>748</v>
      </c>
      <c r="J232" t="s">
        <v>542</v>
      </c>
      <c r="K232">
        <v>6943.75</v>
      </c>
      <c r="L232">
        <v>400</v>
      </c>
      <c r="M232" t="s">
        <v>543</v>
      </c>
      <c r="N232" t="s">
        <v>544</v>
      </c>
      <c r="O232">
        <v>135.41999999999999</v>
      </c>
      <c r="P232">
        <v>7343.75</v>
      </c>
      <c r="R232" t="s">
        <v>1338</v>
      </c>
      <c r="S232">
        <v>1</v>
      </c>
      <c r="T232" t="s">
        <v>1053</v>
      </c>
      <c r="U232" t="s">
        <v>547</v>
      </c>
      <c r="V232">
        <v>6943.75</v>
      </c>
      <c r="W232">
        <v>6943.75</v>
      </c>
      <c r="Z232" t="s">
        <v>1054</v>
      </c>
      <c r="AA232" t="s">
        <v>549</v>
      </c>
      <c r="AB232" t="s">
        <v>748</v>
      </c>
      <c r="AC232" t="s">
        <v>550</v>
      </c>
      <c r="AD232" t="s">
        <v>551</v>
      </c>
      <c r="AE232" t="s">
        <v>909</v>
      </c>
      <c r="AF232" t="s">
        <v>910</v>
      </c>
      <c r="AH232" t="s">
        <v>911</v>
      </c>
      <c r="AI232" t="s">
        <v>688</v>
      </c>
      <c r="AJ232" t="s">
        <v>912</v>
      </c>
      <c r="AK232" t="s">
        <v>556</v>
      </c>
      <c r="AM232" t="s">
        <v>690</v>
      </c>
      <c r="AN232" t="s">
        <v>558</v>
      </c>
      <c r="AO232" t="s">
        <v>84</v>
      </c>
      <c r="AP232" t="s">
        <v>913</v>
      </c>
      <c r="AQ232" t="s">
        <v>688</v>
      </c>
      <c r="AR232" t="s">
        <v>914</v>
      </c>
      <c r="AS232" t="s">
        <v>909</v>
      </c>
      <c r="AT232" t="s">
        <v>910</v>
      </c>
      <c r="AV232" t="s">
        <v>911</v>
      </c>
      <c r="AW232" t="s">
        <v>688</v>
      </c>
      <c r="AX232" t="s">
        <v>912</v>
      </c>
      <c r="AY232" t="s">
        <v>556</v>
      </c>
      <c r="BA232" t="s">
        <v>690</v>
      </c>
      <c r="BB232" t="s">
        <v>558</v>
      </c>
      <c r="BC232" t="s">
        <v>84</v>
      </c>
      <c r="BD232" t="s">
        <v>914</v>
      </c>
      <c r="BH232" t="s">
        <v>560</v>
      </c>
      <c r="BI232" t="s">
        <v>561</v>
      </c>
      <c r="BK232" t="s">
        <v>607</v>
      </c>
      <c r="BL232" t="s">
        <v>562</v>
      </c>
      <c r="BM232" t="s">
        <v>1339</v>
      </c>
      <c r="BN232">
        <v>1</v>
      </c>
      <c r="BO232">
        <v>68.75</v>
      </c>
      <c r="BP232">
        <v>20</v>
      </c>
      <c r="BQ232">
        <v>66.67</v>
      </c>
      <c r="BR232" t="s">
        <v>549</v>
      </c>
    </row>
    <row r="233" spans="1:70">
      <c r="A233" t="s">
        <v>1340</v>
      </c>
      <c r="B233" t="s">
        <v>388</v>
      </c>
      <c r="C233" t="s">
        <v>1341</v>
      </c>
      <c r="D233" t="s">
        <v>1342</v>
      </c>
      <c r="E233" t="s">
        <v>389</v>
      </c>
      <c r="F233">
        <v>1</v>
      </c>
      <c r="G233" t="s">
        <v>539</v>
      </c>
      <c r="H233" t="s">
        <v>1343</v>
      </c>
      <c r="I233" t="s">
        <v>748</v>
      </c>
      <c r="J233" t="s">
        <v>542</v>
      </c>
      <c r="K233">
        <v>2177.81</v>
      </c>
      <c r="L233">
        <v>400</v>
      </c>
      <c r="M233" t="s">
        <v>543</v>
      </c>
      <c r="N233" t="s">
        <v>544</v>
      </c>
      <c r="O233">
        <v>88.23</v>
      </c>
      <c r="P233">
        <v>2577.81</v>
      </c>
      <c r="R233" t="s">
        <v>1344</v>
      </c>
      <c r="S233">
        <v>1</v>
      </c>
      <c r="T233" t="s">
        <v>933</v>
      </c>
      <c r="U233" t="s">
        <v>547</v>
      </c>
      <c r="V233">
        <v>2177.81</v>
      </c>
      <c r="W233">
        <v>2177.81</v>
      </c>
      <c r="Z233" t="s">
        <v>934</v>
      </c>
      <c r="AA233" t="s">
        <v>549</v>
      </c>
      <c r="AB233" t="s">
        <v>748</v>
      </c>
      <c r="AC233" t="s">
        <v>550</v>
      </c>
      <c r="AD233" t="s">
        <v>551</v>
      </c>
      <c r="AE233" t="s">
        <v>388</v>
      </c>
      <c r="AF233" t="s">
        <v>1345</v>
      </c>
      <c r="AH233" t="s">
        <v>1346</v>
      </c>
      <c r="AI233" t="s">
        <v>1347</v>
      </c>
      <c r="AJ233" t="s">
        <v>1348</v>
      </c>
      <c r="AK233" t="s">
        <v>556</v>
      </c>
      <c r="AM233" t="s">
        <v>1349</v>
      </c>
      <c r="AN233" t="s">
        <v>558</v>
      </c>
      <c r="AO233" t="s">
        <v>1350</v>
      </c>
      <c r="AP233" t="s">
        <v>1351</v>
      </c>
      <c r="AQ233" t="s">
        <v>1352</v>
      </c>
      <c r="AR233" t="s">
        <v>1353</v>
      </c>
      <c r="AS233" t="s">
        <v>388</v>
      </c>
      <c r="AT233" t="s">
        <v>1345</v>
      </c>
      <c r="AV233" t="s">
        <v>1346</v>
      </c>
      <c r="AW233" t="s">
        <v>1347</v>
      </c>
      <c r="AX233" t="s">
        <v>1348</v>
      </c>
      <c r="AY233" t="s">
        <v>556</v>
      </c>
      <c r="BA233" t="s">
        <v>1349</v>
      </c>
      <c r="BB233" t="s">
        <v>558</v>
      </c>
      <c r="BC233" t="s">
        <v>1350</v>
      </c>
      <c r="BD233" t="s">
        <v>1353</v>
      </c>
      <c r="BH233" t="s">
        <v>560</v>
      </c>
      <c r="BI233" t="s">
        <v>561</v>
      </c>
      <c r="BK233" t="s">
        <v>607</v>
      </c>
      <c r="BL233" t="s">
        <v>562</v>
      </c>
      <c r="BM233" t="s">
        <v>1354</v>
      </c>
      <c r="BN233">
        <v>1</v>
      </c>
      <c r="BO233">
        <v>21.56</v>
      </c>
      <c r="BP233">
        <v>20</v>
      </c>
      <c r="BQ233">
        <v>66.67</v>
      </c>
      <c r="BR233" t="s">
        <v>549</v>
      </c>
    </row>
    <row r="234" spans="1:70">
      <c r="A234" t="s">
        <v>1355</v>
      </c>
      <c r="B234" t="s">
        <v>43</v>
      </c>
      <c r="C234" t="s">
        <v>537</v>
      </c>
      <c r="D234" t="s">
        <v>538</v>
      </c>
      <c r="E234" t="s">
        <v>45</v>
      </c>
      <c r="F234">
        <v>3</v>
      </c>
      <c r="G234" t="s">
        <v>539</v>
      </c>
      <c r="H234" t="s">
        <v>1356</v>
      </c>
      <c r="I234" t="s">
        <v>1207</v>
      </c>
      <c r="J234" t="s">
        <v>542</v>
      </c>
      <c r="K234">
        <v>6609.19</v>
      </c>
      <c r="L234">
        <v>400</v>
      </c>
      <c r="M234" t="s">
        <v>543</v>
      </c>
      <c r="N234" t="s">
        <v>544</v>
      </c>
      <c r="O234">
        <v>132.11000000000001</v>
      </c>
      <c r="P234">
        <v>7009.19</v>
      </c>
      <c r="R234" t="s">
        <v>1357</v>
      </c>
      <c r="S234">
        <v>1</v>
      </c>
      <c r="T234" t="s">
        <v>818</v>
      </c>
      <c r="U234" t="s">
        <v>547</v>
      </c>
      <c r="V234">
        <v>725.94</v>
      </c>
      <c r="W234">
        <v>725.94</v>
      </c>
      <c r="Z234" t="s">
        <v>819</v>
      </c>
      <c r="AA234" t="s">
        <v>549</v>
      </c>
      <c r="AB234" t="s">
        <v>748</v>
      </c>
      <c r="AC234" t="s">
        <v>550</v>
      </c>
      <c r="AD234" t="s">
        <v>551</v>
      </c>
      <c r="AE234" t="s">
        <v>43</v>
      </c>
      <c r="AF234" t="s">
        <v>552</v>
      </c>
      <c r="AG234" t="s">
        <v>553</v>
      </c>
      <c r="AI234" t="s">
        <v>554</v>
      </c>
      <c r="AJ234" t="s">
        <v>555</v>
      </c>
      <c r="AK234" t="s">
        <v>556</v>
      </c>
      <c r="AM234" t="s">
        <v>557</v>
      </c>
      <c r="AN234" t="s">
        <v>558</v>
      </c>
      <c r="AO234" t="s">
        <v>44</v>
      </c>
      <c r="AP234" t="s">
        <v>549</v>
      </c>
      <c r="AQ234" t="s">
        <v>549</v>
      </c>
      <c r="AR234" t="s">
        <v>559</v>
      </c>
      <c r="AS234" t="s">
        <v>43</v>
      </c>
      <c r="AT234" t="s">
        <v>552</v>
      </c>
      <c r="AU234" t="s">
        <v>553</v>
      </c>
      <c r="AW234" t="s">
        <v>554</v>
      </c>
      <c r="AX234" t="s">
        <v>555</v>
      </c>
      <c r="AY234" t="s">
        <v>556</v>
      </c>
      <c r="BA234" t="s">
        <v>557</v>
      </c>
      <c r="BB234" t="s">
        <v>558</v>
      </c>
      <c r="BC234" t="s">
        <v>44</v>
      </c>
      <c r="BD234" t="s">
        <v>559</v>
      </c>
      <c r="BH234" t="s">
        <v>560</v>
      </c>
      <c r="BI234" t="s">
        <v>561</v>
      </c>
      <c r="BK234" t="s">
        <v>607</v>
      </c>
      <c r="BL234" t="s">
        <v>562</v>
      </c>
      <c r="BM234" t="s">
        <v>1358</v>
      </c>
      <c r="BN234">
        <v>1</v>
      </c>
      <c r="BO234">
        <v>65.44</v>
      </c>
      <c r="BP234">
        <v>20</v>
      </c>
      <c r="BQ234">
        <v>66.67</v>
      </c>
      <c r="BR234" t="s">
        <v>549</v>
      </c>
    </row>
    <row r="235" spans="1:70">
      <c r="A235" t="s">
        <v>1355</v>
      </c>
      <c r="B235" t="s">
        <v>43</v>
      </c>
      <c r="C235" t="s">
        <v>537</v>
      </c>
      <c r="D235" t="s">
        <v>538</v>
      </c>
      <c r="E235" t="s">
        <v>45</v>
      </c>
      <c r="F235">
        <v>3</v>
      </c>
      <c r="H235" t="s">
        <v>1356</v>
      </c>
      <c r="R235" t="s">
        <v>1357</v>
      </c>
      <c r="S235">
        <v>1</v>
      </c>
      <c r="T235" t="s">
        <v>1359</v>
      </c>
      <c r="U235" t="s">
        <v>547</v>
      </c>
      <c r="V235">
        <v>883.75</v>
      </c>
      <c r="W235">
        <v>883.75</v>
      </c>
      <c r="Z235" t="s">
        <v>1360</v>
      </c>
      <c r="AA235" t="s">
        <v>549</v>
      </c>
      <c r="AB235" t="s">
        <v>1140</v>
      </c>
      <c r="AC235" t="s">
        <v>550</v>
      </c>
      <c r="AD235" t="s">
        <v>551</v>
      </c>
      <c r="BJ235">
        <v>883.75</v>
      </c>
      <c r="BR235" t="s">
        <v>549</v>
      </c>
    </row>
    <row r="236" spans="1:70">
      <c r="A236" t="s">
        <v>1355</v>
      </c>
      <c r="B236" t="s">
        <v>43</v>
      </c>
      <c r="C236" t="s">
        <v>537</v>
      </c>
      <c r="D236" t="s">
        <v>538</v>
      </c>
      <c r="E236" t="s">
        <v>45</v>
      </c>
      <c r="F236">
        <v>3</v>
      </c>
      <c r="H236" t="s">
        <v>1356</v>
      </c>
      <c r="R236" t="s">
        <v>1357</v>
      </c>
      <c r="S236">
        <v>1</v>
      </c>
      <c r="T236" t="s">
        <v>719</v>
      </c>
      <c r="U236" t="s">
        <v>547</v>
      </c>
      <c r="V236">
        <v>2575.5</v>
      </c>
      <c r="W236">
        <v>2575.5</v>
      </c>
      <c r="Z236" t="s">
        <v>720</v>
      </c>
      <c r="AA236" t="s">
        <v>549</v>
      </c>
      <c r="AB236" t="s">
        <v>748</v>
      </c>
      <c r="AC236" t="s">
        <v>550</v>
      </c>
      <c r="AD236" t="s">
        <v>551</v>
      </c>
      <c r="BR236" t="s">
        <v>549</v>
      </c>
    </row>
    <row r="237" spans="1:70">
      <c r="A237" t="s">
        <v>1355</v>
      </c>
      <c r="B237" t="s">
        <v>43</v>
      </c>
      <c r="C237" t="s">
        <v>537</v>
      </c>
      <c r="D237" t="s">
        <v>538</v>
      </c>
      <c r="E237" t="s">
        <v>45</v>
      </c>
      <c r="F237">
        <v>3</v>
      </c>
      <c r="H237" t="s">
        <v>1356</v>
      </c>
      <c r="R237" t="s">
        <v>1357</v>
      </c>
      <c r="S237">
        <v>1</v>
      </c>
      <c r="T237" t="s">
        <v>632</v>
      </c>
      <c r="U237" t="s">
        <v>547</v>
      </c>
      <c r="V237">
        <v>2424</v>
      </c>
      <c r="W237">
        <v>2424</v>
      </c>
      <c r="Z237" t="s">
        <v>633</v>
      </c>
      <c r="AA237" t="s">
        <v>549</v>
      </c>
      <c r="AB237" t="s">
        <v>748</v>
      </c>
      <c r="AC237" t="s">
        <v>550</v>
      </c>
      <c r="AD237" t="s">
        <v>551</v>
      </c>
      <c r="BR237" t="s">
        <v>549</v>
      </c>
    </row>
    <row r="238" spans="1:70">
      <c r="A238" t="s">
        <v>1361</v>
      </c>
      <c r="B238" t="s">
        <v>201</v>
      </c>
      <c r="C238" t="s">
        <v>1362</v>
      </c>
      <c r="D238" t="s">
        <v>1005</v>
      </c>
      <c r="E238" t="s">
        <v>203</v>
      </c>
      <c r="F238">
        <v>2</v>
      </c>
      <c r="G238" t="s">
        <v>539</v>
      </c>
      <c r="H238" t="s">
        <v>1363</v>
      </c>
      <c r="I238" t="s">
        <v>748</v>
      </c>
      <c r="J238" t="s">
        <v>542</v>
      </c>
      <c r="K238">
        <v>15661.32</v>
      </c>
      <c r="L238">
        <v>200</v>
      </c>
      <c r="M238" t="s">
        <v>543</v>
      </c>
      <c r="N238" t="s">
        <v>544</v>
      </c>
      <c r="O238">
        <v>180.64</v>
      </c>
      <c r="P238">
        <v>15078.26</v>
      </c>
      <c r="Q238">
        <v>783.06</v>
      </c>
      <c r="R238" t="s">
        <v>1364</v>
      </c>
      <c r="S238">
        <v>2</v>
      </c>
      <c r="T238" t="s">
        <v>586</v>
      </c>
      <c r="U238" t="s">
        <v>547</v>
      </c>
      <c r="V238">
        <v>5037.38</v>
      </c>
      <c r="W238">
        <v>5302.5</v>
      </c>
      <c r="Z238" t="s">
        <v>587</v>
      </c>
      <c r="AA238" t="s">
        <v>549</v>
      </c>
      <c r="AB238" t="s">
        <v>748</v>
      </c>
      <c r="AC238" t="s">
        <v>550</v>
      </c>
      <c r="AD238" t="s">
        <v>551</v>
      </c>
      <c r="AE238" t="s">
        <v>201</v>
      </c>
      <c r="AF238" t="s">
        <v>1365</v>
      </c>
      <c r="AH238" t="s">
        <v>1366</v>
      </c>
      <c r="AI238" t="s">
        <v>601</v>
      </c>
      <c r="AJ238" t="s">
        <v>1367</v>
      </c>
      <c r="AK238" t="s">
        <v>556</v>
      </c>
      <c r="AM238" t="s">
        <v>1368</v>
      </c>
      <c r="AN238" t="s">
        <v>558</v>
      </c>
      <c r="AO238" t="s">
        <v>1369</v>
      </c>
      <c r="AP238" t="s">
        <v>1370</v>
      </c>
      <c r="AQ238" t="s">
        <v>1368</v>
      </c>
      <c r="AR238" t="s">
        <v>1370</v>
      </c>
      <c r="AS238" t="s">
        <v>201</v>
      </c>
      <c r="AT238" t="s">
        <v>1365</v>
      </c>
      <c r="AV238" t="s">
        <v>1366</v>
      </c>
      <c r="AW238" t="s">
        <v>601</v>
      </c>
      <c r="AX238" t="s">
        <v>1367</v>
      </c>
      <c r="AY238" t="s">
        <v>556</v>
      </c>
      <c r="BA238" t="s">
        <v>1368</v>
      </c>
      <c r="BB238" t="s">
        <v>558</v>
      </c>
      <c r="BC238" t="s">
        <v>1369</v>
      </c>
      <c r="BD238" t="s">
        <v>1370</v>
      </c>
      <c r="BH238" t="s">
        <v>560</v>
      </c>
      <c r="BI238" t="s">
        <v>561</v>
      </c>
      <c r="BK238" t="s">
        <v>607</v>
      </c>
      <c r="BL238" t="s">
        <v>562</v>
      </c>
      <c r="BM238" t="s">
        <v>1371</v>
      </c>
      <c r="BN238">
        <v>1</v>
      </c>
      <c r="BO238">
        <v>147.31</v>
      </c>
      <c r="BP238">
        <v>20</v>
      </c>
      <c r="BQ238">
        <v>33.33</v>
      </c>
      <c r="BR238" t="s">
        <v>549</v>
      </c>
    </row>
    <row r="239" spans="1:70">
      <c r="A239" t="s">
        <v>1361</v>
      </c>
      <c r="B239" t="s">
        <v>201</v>
      </c>
      <c r="C239" t="s">
        <v>1362</v>
      </c>
      <c r="D239" t="s">
        <v>1005</v>
      </c>
      <c r="E239" t="s">
        <v>203</v>
      </c>
      <c r="F239">
        <v>2</v>
      </c>
      <c r="H239" t="s">
        <v>1363</v>
      </c>
      <c r="R239" t="s">
        <v>1364</v>
      </c>
      <c r="S239">
        <v>2</v>
      </c>
      <c r="T239" t="s">
        <v>1372</v>
      </c>
      <c r="U239" t="s">
        <v>547</v>
      </c>
      <c r="V239">
        <v>1367.29</v>
      </c>
      <c r="W239">
        <v>1439.25</v>
      </c>
      <c r="Z239" t="s">
        <v>1373</v>
      </c>
      <c r="AA239" t="s">
        <v>549</v>
      </c>
      <c r="AB239" t="s">
        <v>748</v>
      </c>
      <c r="AC239" t="s">
        <v>550</v>
      </c>
      <c r="AD239" t="s">
        <v>551</v>
      </c>
      <c r="BR239" t="s">
        <v>549</v>
      </c>
    </row>
    <row r="240" spans="1:70">
      <c r="A240" t="s">
        <v>1361</v>
      </c>
      <c r="B240" t="s">
        <v>201</v>
      </c>
      <c r="C240" t="s">
        <v>1362</v>
      </c>
      <c r="D240" t="s">
        <v>1005</v>
      </c>
      <c r="E240" t="s">
        <v>203</v>
      </c>
      <c r="F240">
        <v>2</v>
      </c>
      <c r="H240" t="s">
        <v>1363</v>
      </c>
      <c r="R240" t="s">
        <v>1364</v>
      </c>
      <c r="S240">
        <v>3</v>
      </c>
      <c r="T240" t="s">
        <v>818</v>
      </c>
      <c r="U240" t="s">
        <v>547</v>
      </c>
      <c r="V240">
        <v>689.64</v>
      </c>
      <c r="W240">
        <v>725.94</v>
      </c>
      <c r="Z240" t="s">
        <v>819</v>
      </c>
      <c r="AA240" t="s">
        <v>549</v>
      </c>
      <c r="AB240" t="s">
        <v>748</v>
      </c>
      <c r="AC240" t="s">
        <v>550</v>
      </c>
      <c r="AD240" t="s">
        <v>551</v>
      </c>
      <c r="BR240" t="s">
        <v>549</v>
      </c>
    </row>
    <row r="241" spans="1:70">
      <c r="A241" t="s">
        <v>1374</v>
      </c>
      <c r="B241" t="s">
        <v>95</v>
      </c>
      <c r="C241" t="s">
        <v>936</v>
      </c>
      <c r="D241" t="s">
        <v>937</v>
      </c>
      <c r="E241" t="s">
        <v>97</v>
      </c>
      <c r="F241">
        <v>2</v>
      </c>
      <c r="G241" t="s">
        <v>539</v>
      </c>
      <c r="H241" t="s">
        <v>1375</v>
      </c>
      <c r="I241" t="s">
        <v>748</v>
      </c>
      <c r="J241" t="s">
        <v>542</v>
      </c>
      <c r="K241">
        <v>7259.4</v>
      </c>
      <c r="L241">
        <v>400</v>
      </c>
      <c r="M241" t="s">
        <v>543</v>
      </c>
      <c r="N241" t="s">
        <v>544</v>
      </c>
      <c r="O241">
        <v>138.55000000000001</v>
      </c>
      <c r="P241">
        <v>7659.4</v>
      </c>
      <c r="R241" t="s">
        <v>1376</v>
      </c>
      <c r="S241">
        <v>10</v>
      </c>
      <c r="T241" t="s">
        <v>818</v>
      </c>
      <c r="U241" t="s">
        <v>547</v>
      </c>
      <c r="V241">
        <v>725.94</v>
      </c>
      <c r="W241">
        <v>725.94</v>
      </c>
      <c r="Z241" t="s">
        <v>819</v>
      </c>
      <c r="AA241" t="s">
        <v>549</v>
      </c>
      <c r="AB241" t="s">
        <v>748</v>
      </c>
      <c r="AC241" t="s">
        <v>550</v>
      </c>
      <c r="AD241" t="s">
        <v>551</v>
      </c>
      <c r="AE241" t="s">
        <v>1377</v>
      </c>
      <c r="AF241" t="s">
        <v>1378</v>
      </c>
      <c r="AG241" t="s">
        <v>1379</v>
      </c>
      <c r="AH241" t="s">
        <v>1380</v>
      </c>
      <c r="AI241" t="s">
        <v>670</v>
      </c>
      <c r="AJ241" t="s">
        <v>942</v>
      </c>
      <c r="AK241" t="s">
        <v>556</v>
      </c>
      <c r="AM241" t="s">
        <v>672</v>
      </c>
      <c r="AN241" t="s">
        <v>558</v>
      </c>
      <c r="AO241" t="s">
        <v>96</v>
      </c>
      <c r="AP241" t="s">
        <v>943</v>
      </c>
      <c r="AQ241" t="s">
        <v>1381</v>
      </c>
      <c r="AR241" t="s">
        <v>943</v>
      </c>
      <c r="AS241" t="s">
        <v>1377</v>
      </c>
      <c r="AT241" t="s">
        <v>1378</v>
      </c>
      <c r="AU241" t="s">
        <v>1379</v>
      </c>
      <c r="AV241" t="s">
        <v>1380</v>
      </c>
      <c r="AW241" t="s">
        <v>670</v>
      </c>
      <c r="AX241" t="s">
        <v>942</v>
      </c>
      <c r="AY241" t="s">
        <v>556</v>
      </c>
      <c r="BA241" t="s">
        <v>672</v>
      </c>
      <c r="BB241" t="s">
        <v>558</v>
      </c>
      <c r="BC241" t="s">
        <v>96</v>
      </c>
      <c r="BD241" t="s">
        <v>943</v>
      </c>
      <c r="BH241" t="s">
        <v>560</v>
      </c>
      <c r="BI241" t="s">
        <v>561</v>
      </c>
      <c r="BK241" t="s">
        <v>607</v>
      </c>
      <c r="BL241" t="s">
        <v>562</v>
      </c>
      <c r="BM241" t="s">
        <v>1382</v>
      </c>
      <c r="BN241">
        <v>1</v>
      </c>
      <c r="BO241">
        <v>71.88</v>
      </c>
      <c r="BP241">
        <v>20</v>
      </c>
      <c r="BQ241">
        <v>66.67</v>
      </c>
      <c r="BR241" t="s">
        <v>549</v>
      </c>
    </row>
    <row r="242" spans="1:70">
      <c r="A242" t="s">
        <v>1383</v>
      </c>
      <c r="B242" t="s">
        <v>204</v>
      </c>
      <c r="C242" t="s">
        <v>1384</v>
      </c>
      <c r="D242" t="s">
        <v>1385</v>
      </c>
      <c r="E242" t="s">
        <v>206</v>
      </c>
      <c r="F242">
        <v>1</v>
      </c>
      <c r="G242" t="s">
        <v>539</v>
      </c>
      <c r="H242" t="s">
        <v>1386</v>
      </c>
      <c r="I242" t="s">
        <v>748</v>
      </c>
      <c r="J242" t="s">
        <v>542</v>
      </c>
      <c r="K242">
        <v>16625.689999999999</v>
      </c>
      <c r="L242">
        <v>200</v>
      </c>
      <c r="M242" t="s">
        <v>543</v>
      </c>
      <c r="N242" t="s">
        <v>544</v>
      </c>
      <c r="O242">
        <v>189.71</v>
      </c>
      <c r="P242">
        <v>15994.41</v>
      </c>
      <c r="Q242">
        <v>831.28</v>
      </c>
      <c r="R242" t="s">
        <v>1387</v>
      </c>
      <c r="S242">
        <v>1</v>
      </c>
      <c r="T242" t="s">
        <v>933</v>
      </c>
      <c r="U242" t="s">
        <v>547</v>
      </c>
      <c r="V242">
        <v>2068.92</v>
      </c>
      <c r="W242">
        <v>2177.81</v>
      </c>
      <c r="Z242" t="s">
        <v>934</v>
      </c>
      <c r="AA242" t="s">
        <v>549</v>
      </c>
      <c r="AB242" t="s">
        <v>748</v>
      </c>
      <c r="AC242" t="s">
        <v>550</v>
      </c>
      <c r="AD242" t="s">
        <v>551</v>
      </c>
      <c r="AE242" t="s">
        <v>1388</v>
      </c>
      <c r="AF242" t="s">
        <v>1389</v>
      </c>
      <c r="AG242" t="s">
        <v>1390</v>
      </c>
      <c r="AH242" t="s">
        <v>1391</v>
      </c>
      <c r="AI242" t="s">
        <v>577</v>
      </c>
      <c r="AJ242" t="s">
        <v>1392</v>
      </c>
      <c r="AK242" t="s">
        <v>556</v>
      </c>
      <c r="AM242" t="s">
        <v>1393</v>
      </c>
      <c r="AN242" t="s">
        <v>558</v>
      </c>
      <c r="AO242" t="s">
        <v>205</v>
      </c>
      <c r="AP242" t="s">
        <v>1394</v>
      </c>
      <c r="AQ242" t="s">
        <v>1395</v>
      </c>
      <c r="AR242" t="s">
        <v>1396</v>
      </c>
      <c r="AS242" t="s">
        <v>1388</v>
      </c>
      <c r="AT242" t="s">
        <v>1389</v>
      </c>
      <c r="AU242" t="s">
        <v>1390</v>
      </c>
      <c r="AV242" t="s">
        <v>1391</v>
      </c>
      <c r="AW242" t="s">
        <v>577</v>
      </c>
      <c r="AX242" t="s">
        <v>1392</v>
      </c>
      <c r="AY242" t="s">
        <v>556</v>
      </c>
      <c r="BA242" t="s">
        <v>1393</v>
      </c>
      <c r="BB242" t="s">
        <v>558</v>
      </c>
      <c r="BC242" t="s">
        <v>205</v>
      </c>
      <c r="BD242" t="s">
        <v>1396</v>
      </c>
      <c r="BH242" t="s">
        <v>560</v>
      </c>
      <c r="BI242" t="s">
        <v>561</v>
      </c>
      <c r="BK242" t="s">
        <v>607</v>
      </c>
      <c r="BL242" t="s">
        <v>562</v>
      </c>
      <c r="BM242" t="s">
        <v>1397</v>
      </c>
      <c r="BN242">
        <v>1</v>
      </c>
      <c r="BO242">
        <v>156.38</v>
      </c>
      <c r="BP242">
        <v>20</v>
      </c>
      <c r="BQ242">
        <v>33.33</v>
      </c>
      <c r="BR242" t="s">
        <v>549</v>
      </c>
    </row>
    <row r="243" spans="1:70">
      <c r="A243" t="s">
        <v>1383</v>
      </c>
      <c r="B243" t="s">
        <v>204</v>
      </c>
      <c r="C243" t="s">
        <v>1384</v>
      </c>
      <c r="D243" t="s">
        <v>1385</v>
      </c>
      <c r="E243" t="s">
        <v>206</v>
      </c>
      <c r="F243">
        <v>1</v>
      </c>
      <c r="H243" t="s">
        <v>1386</v>
      </c>
      <c r="R243" t="s">
        <v>1387</v>
      </c>
      <c r="S243">
        <v>1</v>
      </c>
      <c r="T243" t="s">
        <v>564</v>
      </c>
      <c r="U243" t="s">
        <v>547</v>
      </c>
      <c r="V243">
        <v>2338.79</v>
      </c>
      <c r="W243">
        <v>2461.88</v>
      </c>
      <c r="Z243" t="s">
        <v>565</v>
      </c>
      <c r="AA243" t="s">
        <v>549</v>
      </c>
      <c r="AB243" t="s">
        <v>748</v>
      </c>
      <c r="AC243" t="s">
        <v>550</v>
      </c>
      <c r="AD243" t="s">
        <v>551</v>
      </c>
      <c r="BR243" t="s">
        <v>549</v>
      </c>
    </row>
    <row r="244" spans="1:70">
      <c r="A244" t="s">
        <v>1383</v>
      </c>
      <c r="B244" t="s">
        <v>204</v>
      </c>
      <c r="C244" t="s">
        <v>1384</v>
      </c>
      <c r="D244" t="s">
        <v>1385</v>
      </c>
      <c r="E244" t="s">
        <v>206</v>
      </c>
      <c r="F244">
        <v>1</v>
      </c>
      <c r="H244" t="s">
        <v>1386</v>
      </c>
      <c r="R244" t="s">
        <v>1387</v>
      </c>
      <c r="S244">
        <v>1</v>
      </c>
      <c r="T244" t="s">
        <v>1398</v>
      </c>
      <c r="U244" t="s">
        <v>547</v>
      </c>
      <c r="V244">
        <v>2014.95</v>
      </c>
      <c r="W244">
        <v>2121</v>
      </c>
      <c r="Z244" t="s">
        <v>1399</v>
      </c>
      <c r="AA244" t="s">
        <v>549</v>
      </c>
      <c r="AB244" t="s">
        <v>748</v>
      </c>
      <c r="AC244" t="s">
        <v>550</v>
      </c>
      <c r="AD244" t="s">
        <v>551</v>
      </c>
      <c r="BR244" t="s">
        <v>549</v>
      </c>
    </row>
    <row r="245" spans="1:70">
      <c r="A245" t="s">
        <v>1383</v>
      </c>
      <c r="B245" t="s">
        <v>204</v>
      </c>
      <c r="C245" t="s">
        <v>1384</v>
      </c>
      <c r="D245" t="s">
        <v>1385</v>
      </c>
      <c r="E245" t="s">
        <v>206</v>
      </c>
      <c r="F245">
        <v>1</v>
      </c>
      <c r="H245" t="s">
        <v>1386</v>
      </c>
      <c r="R245" t="s">
        <v>1387</v>
      </c>
      <c r="S245">
        <v>1</v>
      </c>
      <c r="T245" t="s">
        <v>616</v>
      </c>
      <c r="U245" t="s">
        <v>547</v>
      </c>
      <c r="V245">
        <v>1407.9</v>
      </c>
      <c r="W245">
        <v>1482</v>
      </c>
      <c r="Z245" t="s">
        <v>890</v>
      </c>
      <c r="AA245" t="s">
        <v>549</v>
      </c>
      <c r="AB245" t="s">
        <v>748</v>
      </c>
      <c r="AC245" t="s">
        <v>550</v>
      </c>
      <c r="AD245" t="s">
        <v>551</v>
      </c>
      <c r="BR245" t="s">
        <v>549</v>
      </c>
    </row>
    <row r="246" spans="1:70">
      <c r="A246" t="s">
        <v>1383</v>
      </c>
      <c r="B246" t="s">
        <v>204</v>
      </c>
      <c r="C246" t="s">
        <v>1384</v>
      </c>
      <c r="D246" t="s">
        <v>1385</v>
      </c>
      <c r="E246" t="s">
        <v>206</v>
      </c>
      <c r="F246">
        <v>1</v>
      </c>
      <c r="H246" t="s">
        <v>1386</v>
      </c>
      <c r="R246" t="s">
        <v>1387</v>
      </c>
      <c r="S246">
        <v>1</v>
      </c>
      <c r="T246" t="s">
        <v>632</v>
      </c>
      <c r="U246" t="s">
        <v>547</v>
      </c>
      <c r="V246">
        <v>2302.8000000000002</v>
      </c>
      <c r="W246">
        <v>2424</v>
      </c>
      <c r="Z246" t="s">
        <v>633</v>
      </c>
      <c r="AA246" t="s">
        <v>549</v>
      </c>
      <c r="AB246" t="s">
        <v>748</v>
      </c>
      <c r="AC246" t="s">
        <v>550</v>
      </c>
      <c r="AD246" t="s">
        <v>551</v>
      </c>
      <c r="BR246" t="s">
        <v>549</v>
      </c>
    </row>
    <row r="247" spans="1:70">
      <c r="A247" t="s">
        <v>1383</v>
      </c>
      <c r="B247" t="s">
        <v>204</v>
      </c>
      <c r="C247" t="s">
        <v>1384</v>
      </c>
      <c r="D247" t="s">
        <v>1385</v>
      </c>
      <c r="E247" t="s">
        <v>206</v>
      </c>
      <c r="F247">
        <v>1</v>
      </c>
      <c r="H247" t="s">
        <v>1386</v>
      </c>
      <c r="R247" t="s">
        <v>1387</v>
      </c>
      <c r="S247">
        <v>1</v>
      </c>
      <c r="T247" t="s">
        <v>630</v>
      </c>
      <c r="U247" t="s">
        <v>547</v>
      </c>
      <c r="V247">
        <v>3166.35</v>
      </c>
      <c r="W247">
        <v>3333</v>
      </c>
      <c r="Z247" t="s">
        <v>631</v>
      </c>
      <c r="AA247" t="s">
        <v>549</v>
      </c>
      <c r="AB247" t="s">
        <v>748</v>
      </c>
      <c r="AC247" t="s">
        <v>550</v>
      </c>
      <c r="AD247" t="s">
        <v>551</v>
      </c>
      <c r="BR247" t="s">
        <v>549</v>
      </c>
    </row>
    <row r="248" spans="1:70">
      <c r="A248" t="s">
        <v>1383</v>
      </c>
      <c r="B248" t="s">
        <v>204</v>
      </c>
      <c r="C248" t="s">
        <v>1384</v>
      </c>
      <c r="D248" t="s">
        <v>1385</v>
      </c>
      <c r="E248" t="s">
        <v>206</v>
      </c>
      <c r="F248">
        <v>1</v>
      </c>
      <c r="H248" t="s">
        <v>1386</v>
      </c>
      <c r="R248" t="s">
        <v>1387</v>
      </c>
      <c r="S248">
        <v>1</v>
      </c>
      <c r="T248" t="s">
        <v>722</v>
      </c>
      <c r="U248" t="s">
        <v>547</v>
      </c>
      <c r="V248">
        <v>2494.6999999999998</v>
      </c>
      <c r="W248">
        <v>2626</v>
      </c>
      <c r="Z248" t="s">
        <v>723</v>
      </c>
      <c r="AA248" t="s">
        <v>549</v>
      </c>
      <c r="AB248" t="s">
        <v>748</v>
      </c>
      <c r="AC248" t="s">
        <v>550</v>
      </c>
      <c r="AD248" t="s">
        <v>551</v>
      </c>
      <c r="BR248" t="s">
        <v>549</v>
      </c>
    </row>
    <row r="249" spans="1:70">
      <c r="A249" t="s">
        <v>1400</v>
      </c>
      <c r="B249" t="s">
        <v>311</v>
      </c>
      <c r="C249" t="s">
        <v>1401</v>
      </c>
      <c r="D249" t="s">
        <v>1402</v>
      </c>
      <c r="E249" t="s">
        <v>313</v>
      </c>
      <c r="F249">
        <v>2</v>
      </c>
      <c r="G249" t="s">
        <v>539</v>
      </c>
      <c r="H249" t="s">
        <v>1403</v>
      </c>
      <c r="I249" t="s">
        <v>748</v>
      </c>
      <c r="J249" t="s">
        <v>542</v>
      </c>
      <c r="K249">
        <v>2461.88</v>
      </c>
      <c r="L249">
        <v>400</v>
      </c>
      <c r="M249" t="s">
        <v>543</v>
      </c>
      <c r="N249" t="s">
        <v>544</v>
      </c>
      <c r="O249">
        <v>91.05</v>
      </c>
      <c r="P249">
        <v>2861.88</v>
      </c>
      <c r="R249" t="s">
        <v>1404</v>
      </c>
      <c r="S249">
        <v>1</v>
      </c>
      <c r="T249" t="s">
        <v>704</v>
      </c>
      <c r="U249" t="s">
        <v>547</v>
      </c>
      <c r="V249">
        <v>2461.88</v>
      </c>
      <c r="W249">
        <v>2461.88</v>
      </c>
      <c r="Z249" t="s">
        <v>705</v>
      </c>
      <c r="AA249" t="s">
        <v>549</v>
      </c>
      <c r="AB249" t="s">
        <v>748</v>
      </c>
      <c r="AC249" t="s">
        <v>550</v>
      </c>
      <c r="AD249" t="s">
        <v>551</v>
      </c>
      <c r="AE249" t="s">
        <v>1405</v>
      </c>
      <c r="AF249" t="s">
        <v>1406</v>
      </c>
      <c r="AI249" t="s">
        <v>1229</v>
      </c>
      <c r="AJ249" t="s">
        <v>1407</v>
      </c>
      <c r="AK249" t="s">
        <v>556</v>
      </c>
      <c r="AM249" t="s">
        <v>1408</v>
      </c>
      <c r="AN249" t="s">
        <v>558</v>
      </c>
      <c r="AO249" t="s">
        <v>312</v>
      </c>
      <c r="AP249" t="s">
        <v>549</v>
      </c>
      <c r="AQ249" t="s">
        <v>549</v>
      </c>
      <c r="AR249" t="s">
        <v>1409</v>
      </c>
      <c r="AS249" t="s">
        <v>1405</v>
      </c>
      <c r="AT249" t="s">
        <v>1406</v>
      </c>
      <c r="AW249" t="s">
        <v>1229</v>
      </c>
      <c r="AX249" t="s">
        <v>1407</v>
      </c>
      <c r="AY249" t="s">
        <v>556</v>
      </c>
      <c r="BA249" t="s">
        <v>1408</v>
      </c>
      <c r="BB249" t="s">
        <v>558</v>
      </c>
      <c r="BC249" t="s">
        <v>312</v>
      </c>
      <c r="BD249" t="s">
        <v>1409</v>
      </c>
      <c r="BH249" t="s">
        <v>560</v>
      </c>
      <c r="BI249" t="s">
        <v>561</v>
      </c>
      <c r="BK249" t="s">
        <v>607</v>
      </c>
      <c r="BL249" t="s">
        <v>562</v>
      </c>
      <c r="BM249" t="s">
        <v>1410</v>
      </c>
      <c r="BN249">
        <v>1</v>
      </c>
      <c r="BO249">
        <v>24.38</v>
      </c>
      <c r="BP249">
        <v>20</v>
      </c>
      <c r="BQ249">
        <v>66.67</v>
      </c>
      <c r="BR249" t="s">
        <v>549</v>
      </c>
    </row>
    <row r="250" spans="1:70">
      <c r="A250" t="s">
        <v>1411</v>
      </c>
      <c r="B250" t="s">
        <v>280</v>
      </c>
      <c r="C250" t="s">
        <v>1412</v>
      </c>
      <c r="D250" t="s">
        <v>1413</v>
      </c>
      <c r="E250" t="s">
        <v>282</v>
      </c>
      <c r="F250">
        <v>1</v>
      </c>
      <c r="G250" t="s">
        <v>539</v>
      </c>
      <c r="H250" t="s">
        <v>1414</v>
      </c>
      <c r="I250" t="s">
        <v>748</v>
      </c>
      <c r="J250" t="s">
        <v>542</v>
      </c>
      <c r="K250">
        <v>4601.8100000000004</v>
      </c>
      <c r="L250">
        <v>400</v>
      </c>
      <c r="M250" t="s">
        <v>543</v>
      </c>
      <c r="N250" t="s">
        <v>544</v>
      </c>
      <c r="O250">
        <v>112.23</v>
      </c>
      <c r="P250">
        <v>5001.8100000000004</v>
      </c>
      <c r="R250" t="s">
        <v>1415</v>
      </c>
      <c r="S250">
        <v>1</v>
      </c>
      <c r="T250" t="s">
        <v>933</v>
      </c>
      <c r="U250" t="s">
        <v>547</v>
      </c>
      <c r="V250">
        <v>2177.81</v>
      </c>
      <c r="W250">
        <v>2177.81</v>
      </c>
      <c r="Z250" t="s">
        <v>934</v>
      </c>
      <c r="AA250" t="s">
        <v>549</v>
      </c>
      <c r="AB250" t="s">
        <v>748</v>
      </c>
      <c r="AC250" t="s">
        <v>550</v>
      </c>
      <c r="AD250" t="s">
        <v>551</v>
      </c>
      <c r="AE250" t="s">
        <v>280</v>
      </c>
      <c r="AF250" t="s">
        <v>1416</v>
      </c>
      <c r="AG250" t="s">
        <v>1417</v>
      </c>
      <c r="AI250" t="s">
        <v>709</v>
      </c>
      <c r="AJ250" t="s">
        <v>1418</v>
      </c>
      <c r="AK250" t="s">
        <v>556</v>
      </c>
      <c r="AM250" t="s">
        <v>1419</v>
      </c>
      <c r="AN250" t="s">
        <v>558</v>
      </c>
      <c r="AO250" t="s">
        <v>281</v>
      </c>
      <c r="AP250" t="s">
        <v>549</v>
      </c>
      <c r="AQ250" t="s">
        <v>549</v>
      </c>
      <c r="AR250" t="s">
        <v>1420</v>
      </c>
      <c r="AS250" t="s">
        <v>280</v>
      </c>
      <c r="AT250" t="s">
        <v>1416</v>
      </c>
      <c r="AU250" t="s">
        <v>1417</v>
      </c>
      <c r="AW250" t="s">
        <v>709</v>
      </c>
      <c r="AX250" t="s">
        <v>1418</v>
      </c>
      <c r="AY250" t="s">
        <v>556</v>
      </c>
      <c r="BA250" t="s">
        <v>1419</v>
      </c>
      <c r="BB250" t="s">
        <v>558</v>
      </c>
      <c r="BC250" t="s">
        <v>281</v>
      </c>
      <c r="BD250" t="s">
        <v>1420</v>
      </c>
      <c r="BH250" t="s">
        <v>560</v>
      </c>
      <c r="BI250" t="s">
        <v>561</v>
      </c>
      <c r="BK250" t="s">
        <v>607</v>
      </c>
      <c r="BL250" t="s">
        <v>562</v>
      </c>
      <c r="BM250" t="s">
        <v>1421</v>
      </c>
      <c r="BN250">
        <v>1</v>
      </c>
      <c r="BO250">
        <v>45.56</v>
      </c>
      <c r="BP250">
        <v>20</v>
      </c>
      <c r="BQ250">
        <v>66.67</v>
      </c>
      <c r="BR250" t="s">
        <v>549</v>
      </c>
    </row>
    <row r="251" spans="1:70">
      <c r="A251" t="s">
        <v>1411</v>
      </c>
      <c r="B251" t="s">
        <v>280</v>
      </c>
      <c r="C251" t="s">
        <v>1412</v>
      </c>
      <c r="D251" t="s">
        <v>1413</v>
      </c>
      <c r="E251" t="s">
        <v>282</v>
      </c>
      <c r="F251">
        <v>1</v>
      </c>
      <c r="H251" t="s">
        <v>1414</v>
      </c>
      <c r="R251" t="s">
        <v>1415</v>
      </c>
      <c r="S251">
        <v>1</v>
      </c>
      <c r="T251" t="s">
        <v>1332</v>
      </c>
      <c r="U251" t="s">
        <v>547</v>
      </c>
      <c r="V251">
        <v>2424</v>
      </c>
      <c r="W251">
        <v>2424</v>
      </c>
      <c r="Z251" t="s">
        <v>1333</v>
      </c>
      <c r="AA251" t="s">
        <v>549</v>
      </c>
      <c r="AB251" t="s">
        <v>748</v>
      </c>
      <c r="AC251" t="s">
        <v>550</v>
      </c>
      <c r="AD251" t="s">
        <v>551</v>
      </c>
      <c r="BR251" t="s">
        <v>549</v>
      </c>
    </row>
    <row r="252" spans="1:70">
      <c r="A252" t="s">
        <v>1422</v>
      </c>
      <c r="B252" t="s">
        <v>108</v>
      </c>
      <c r="C252" t="s">
        <v>992</v>
      </c>
      <c r="D252" t="s">
        <v>993</v>
      </c>
      <c r="E252" t="s">
        <v>110</v>
      </c>
      <c r="F252">
        <v>5</v>
      </c>
      <c r="G252" t="s">
        <v>539</v>
      </c>
      <c r="H252" t="s">
        <v>1423</v>
      </c>
      <c r="I252" t="s">
        <v>748</v>
      </c>
      <c r="J252" t="s">
        <v>542</v>
      </c>
      <c r="K252">
        <v>21816</v>
      </c>
      <c r="L252">
        <v>0</v>
      </c>
      <c r="M252" t="s">
        <v>543</v>
      </c>
      <c r="N252" t="s">
        <v>544</v>
      </c>
      <c r="O252">
        <v>194.4</v>
      </c>
      <c r="P252">
        <v>19634.400000000001</v>
      </c>
      <c r="Q252">
        <v>2381.6</v>
      </c>
      <c r="R252" t="s">
        <v>1424</v>
      </c>
      <c r="S252">
        <v>8</v>
      </c>
      <c r="T252" t="s">
        <v>584</v>
      </c>
      <c r="U252" t="s">
        <v>547</v>
      </c>
      <c r="V252">
        <v>2454.3000000000002</v>
      </c>
      <c r="W252">
        <v>2727</v>
      </c>
      <c r="Z252" t="s">
        <v>585</v>
      </c>
      <c r="AA252" t="s">
        <v>549</v>
      </c>
      <c r="AB252" t="s">
        <v>748</v>
      </c>
      <c r="AC252" t="s">
        <v>550</v>
      </c>
      <c r="AD252" t="s">
        <v>551</v>
      </c>
      <c r="AE252" t="s">
        <v>996</v>
      </c>
      <c r="AF252" t="s">
        <v>997</v>
      </c>
      <c r="AH252" t="s">
        <v>998</v>
      </c>
      <c r="AI252" t="s">
        <v>554</v>
      </c>
      <c r="AJ252" t="s">
        <v>999</v>
      </c>
      <c r="AK252" t="s">
        <v>556</v>
      </c>
      <c r="AM252" t="s">
        <v>1000</v>
      </c>
      <c r="AN252" t="s">
        <v>558</v>
      </c>
      <c r="AO252" t="s">
        <v>109</v>
      </c>
      <c r="AP252" t="s">
        <v>1001</v>
      </c>
      <c r="AQ252" t="s">
        <v>1002</v>
      </c>
      <c r="AR252" t="s">
        <v>1001</v>
      </c>
      <c r="AS252" t="s">
        <v>996</v>
      </c>
      <c r="AT252" t="s">
        <v>997</v>
      </c>
      <c r="AV252" t="s">
        <v>998</v>
      </c>
      <c r="AW252" t="s">
        <v>554</v>
      </c>
      <c r="AX252" t="s">
        <v>999</v>
      </c>
      <c r="AY252" t="s">
        <v>556</v>
      </c>
      <c r="BA252" t="s">
        <v>1000</v>
      </c>
      <c r="BB252" t="s">
        <v>558</v>
      </c>
      <c r="BC252" t="s">
        <v>109</v>
      </c>
      <c r="BD252" t="s">
        <v>1001</v>
      </c>
      <c r="BH252" t="s">
        <v>560</v>
      </c>
      <c r="BI252" t="s">
        <v>561</v>
      </c>
      <c r="BK252" t="s">
        <v>607</v>
      </c>
      <c r="BL252" t="s">
        <v>562</v>
      </c>
      <c r="BM252" t="s">
        <v>1425</v>
      </c>
      <c r="BN252">
        <v>1</v>
      </c>
      <c r="BO252">
        <v>194.4</v>
      </c>
      <c r="BR252" t="s">
        <v>549</v>
      </c>
    </row>
    <row r="253" spans="1:70">
      <c r="A253" t="s">
        <v>1426</v>
      </c>
      <c r="B253" t="s">
        <v>323</v>
      </c>
      <c r="C253" t="s">
        <v>1427</v>
      </c>
      <c r="D253" t="s">
        <v>1428</v>
      </c>
      <c r="E253" t="s">
        <v>325</v>
      </c>
      <c r="F253">
        <v>1</v>
      </c>
      <c r="G253" t="s">
        <v>1140</v>
      </c>
      <c r="H253" t="s">
        <v>1429</v>
      </c>
      <c r="I253" t="s">
        <v>1142</v>
      </c>
      <c r="J253" t="s">
        <v>542</v>
      </c>
      <c r="K253">
        <v>1482</v>
      </c>
      <c r="L253">
        <v>400</v>
      </c>
      <c r="M253" t="s">
        <v>543</v>
      </c>
      <c r="N253" t="s">
        <v>544</v>
      </c>
      <c r="O253">
        <v>81.34</v>
      </c>
      <c r="P253">
        <v>1882</v>
      </c>
      <c r="R253" t="s">
        <v>1430</v>
      </c>
      <c r="S253">
        <v>1</v>
      </c>
      <c r="T253" t="s">
        <v>616</v>
      </c>
      <c r="U253" t="s">
        <v>547</v>
      </c>
      <c r="V253">
        <v>1482</v>
      </c>
      <c r="W253">
        <v>1482</v>
      </c>
      <c r="Z253" t="s">
        <v>890</v>
      </c>
      <c r="AA253" t="s">
        <v>549</v>
      </c>
      <c r="AB253" t="s">
        <v>1142</v>
      </c>
      <c r="AC253" t="s">
        <v>550</v>
      </c>
      <c r="AD253" t="s">
        <v>551</v>
      </c>
      <c r="AE253" t="s">
        <v>323</v>
      </c>
      <c r="AF253" t="s">
        <v>1431</v>
      </c>
      <c r="AG253" t="s">
        <v>1432</v>
      </c>
      <c r="AI253" t="s">
        <v>1433</v>
      </c>
      <c r="AJ253" t="s">
        <v>1434</v>
      </c>
      <c r="AK253" t="s">
        <v>556</v>
      </c>
      <c r="AM253" t="s">
        <v>1435</v>
      </c>
      <c r="AN253" t="s">
        <v>558</v>
      </c>
      <c r="AO253" t="s">
        <v>1436</v>
      </c>
      <c r="AP253" t="s">
        <v>549</v>
      </c>
      <c r="AQ253" t="s">
        <v>549</v>
      </c>
      <c r="AR253" t="s">
        <v>1437</v>
      </c>
      <c r="AS253" t="s">
        <v>323</v>
      </c>
      <c r="AT253" t="s">
        <v>1431</v>
      </c>
      <c r="AU253" t="s">
        <v>1432</v>
      </c>
      <c r="AW253" t="s">
        <v>1433</v>
      </c>
      <c r="AX253" t="s">
        <v>1434</v>
      </c>
      <c r="AY253" t="s">
        <v>556</v>
      </c>
      <c r="BA253" t="s">
        <v>1435</v>
      </c>
      <c r="BB253" t="s">
        <v>558</v>
      </c>
      <c r="BC253" t="s">
        <v>1436</v>
      </c>
      <c r="BD253" t="s">
        <v>1437</v>
      </c>
      <c r="BH253" t="s">
        <v>560</v>
      </c>
      <c r="BI253" t="s">
        <v>561</v>
      </c>
      <c r="BK253" t="s">
        <v>607</v>
      </c>
      <c r="BL253" t="s">
        <v>562</v>
      </c>
      <c r="BM253" t="s">
        <v>1438</v>
      </c>
      <c r="BN253">
        <v>1</v>
      </c>
      <c r="BO253">
        <v>14.67</v>
      </c>
      <c r="BP253">
        <v>20</v>
      </c>
      <c r="BQ253">
        <v>66.67</v>
      </c>
      <c r="BR253" t="s">
        <v>549</v>
      </c>
    </row>
    <row r="254" spans="1:70">
      <c r="A254" t="s">
        <v>1439</v>
      </c>
      <c r="B254" t="s">
        <v>311</v>
      </c>
      <c r="C254" t="s">
        <v>1401</v>
      </c>
      <c r="D254" t="s">
        <v>1402</v>
      </c>
      <c r="E254" t="s">
        <v>313</v>
      </c>
      <c r="F254">
        <v>1</v>
      </c>
      <c r="G254" t="s">
        <v>1140</v>
      </c>
      <c r="H254" t="s">
        <v>1440</v>
      </c>
      <c r="I254" t="s">
        <v>1142</v>
      </c>
      <c r="J254" t="s">
        <v>542</v>
      </c>
      <c r="K254">
        <v>2461.88</v>
      </c>
      <c r="L254">
        <v>400</v>
      </c>
      <c r="M254" t="s">
        <v>543</v>
      </c>
      <c r="N254" t="s">
        <v>544</v>
      </c>
      <c r="O254">
        <v>91.05</v>
      </c>
      <c r="P254">
        <v>2861.88</v>
      </c>
      <c r="R254" t="s">
        <v>1441</v>
      </c>
      <c r="S254">
        <v>1</v>
      </c>
      <c r="T254" t="s">
        <v>704</v>
      </c>
      <c r="U254" t="s">
        <v>547</v>
      </c>
      <c r="V254">
        <v>2461.88</v>
      </c>
      <c r="W254">
        <v>2461.88</v>
      </c>
      <c r="Z254" t="s">
        <v>705</v>
      </c>
      <c r="AA254" t="s">
        <v>549</v>
      </c>
      <c r="AB254" t="s">
        <v>1142</v>
      </c>
      <c r="AC254" t="s">
        <v>550</v>
      </c>
      <c r="AD254" t="s">
        <v>551</v>
      </c>
      <c r="AE254" t="s">
        <v>1405</v>
      </c>
      <c r="AF254" t="s">
        <v>1442</v>
      </c>
      <c r="AI254" t="s">
        <v>1229</v>
      </c>
      <c r="AJ254" t="s">
        <v>1407</v>
      </c>
      <c r="AK254" t="s">
        <v>556</v>
      </c>
      <c r="AM254" t="s">
        <v>1408</v>
      </c>
      <c r="AN254" t="s">
        <v>558</v>
      </c>
      <c r="AO254" t="s">
        <v>312</v>
      </c>
      <c r="AP254" t="s">
        <v>549</v>
      </c>
      <c r="AQ254" t="s">
        <v>549</v>
      </c>
      <c r="AR254" t="s">
        <v>1409</v>
      </c>
      <c r="AS254" t="s">
        <v>1405</v>
      </c>
      <c r="AT254" t="s">
        <v>1442</v>
      </c>
      <c r="AW254" t="s">
        <v>1229</v>
      </c>
      <c r="AX254" t="s">
        <v>1407</v>
      </c>
      <c r="AY254" t="s">
        <v>556</v>
      </c>
      <c r="BA254" t="s">
        <v>1408</v>
      </c>
      <c r="BB254" t="s">
        <v>558</v>
      </c>
      <c r="BC254" t="s">
        <v>312</v>
      </c>
      <c r="BD254" t="s">
        <v>1409</v>
      </c>
      <c r="BH254" t="s">
        <v>560</v>
      </c>
      <c r="BI254" t="s">
        <v>561</v>
      </c>
      <c r="BK254" t="s">
        <v>607</v>
      </c>
      <c r="BL254" t="s">
        <v>562</v>
      </c>
      <c r="BM254" t="s">
        <v>1443</v>
      </c>
      <c r="BN254">
        <v>1</v>
      </c>
      <c r="BO254">
        <v>24.38</v>
      </c>
      <c r="BP254">
        <v>20</v>
      </c>
      <c r="BQ254">
        <v>66.67</v>
      </c>
      <c r="BR254" t="s">
        <v>549</v>
      </c>
    </row>
    <row r="255" spans="1:70">
      <c r="A255" t="s">
        <v>1444</v>
      </c>
      <c r="B255" t="s">
        <v>32</v>
      </c>
      <c r="C255" t="s">
        <v>567</v>
      </c>
      <c r="D255" t="s">
        <v>568</v>
      </c>
      <c r="E255" t="s">
        <v>34</v>
      </c>
      <c r="F255">
        <v>6</v>
      </c>
      <c r="G255" t="s">
        <v>539</v>
      </c>
      <c r="H255" t="s">
        <v>1445</v>
      </c>
      <c r="I255" t="s">
        <v>748</v>
      </c>
      <c r="J255" t="s">
        <v>542</v>
      </c>
      <c r="K255">
        <v>38075.72</v>
      </c>
      <c r="L255">
        <v>0</v>
      </c>
      <c r="M255" t="s">
        <v>570</v>
      </c>
      <c r="N255" t="s">
        <v>544</v>
      </c>
      <c r="O255">
        <v>349.42</v>
      </c>
      <c r="P255">
        <v>35291.910000000003</v>
      </c>
      <c r="Q255">
        <v>2783.81</v>
      </c>
      <c r="R255" t="s">
        <v>1446</v>
      </c>
      <c r="S255">
        <v>3</v>
      </c>
      <c r="T255" t="s">
        <v>588</v>
      </c>
      <c r="U255" t="s">
        <v>547</v>
      </c>
      <c r="V255">
        <v>3412.53</v>
      </c>
      <c r="W255">
        <v>4014.75</v>
      </c>
      <c r="X255">
        <v>3412.53</v>
      </c>
      <c r="Z255" t="s">
        <v>589</v>
      </c>
      <c r="AA255" t="s">
        <v>549</v>
      </c>
      <c r="AB255" t="s">
        <v>748</v>
      </c>
      <c r="AC255" t="s">
        <v>550</v>
      </c>
      <c r="AD255" t="s">
        <v>551</v>
      </c>
      <c r="AE255" t="s">
        <v>32</v>
      </c>
      <c r="AF255" t="s">
        <v>574</v>
      </c>
      <c r="AG255" t="s">
        <v>575</v>
      </c>
      <c r="AH255" t="s">
        <v>576</v>
      </c>
      <c r="AI255" t="s">
        <v>577</v>
      </c>
      <c r="AJ255" t="s">
        <v>578</v>
      </c>
      <c r="AK255" t="s">
        <v>556</v>
      </c>
      <c r="AM255" t="s">
        <v>579</v>
      </c>
      <c r="AN255" t="s">
        <v>558</v>
      </c>
      <c r="AO255" t="s">
        <v>33</v>
      </c>
      <c r="AP255" t="s">
        <v>580</v>
      </c>
      <c r="AQ255" t="s">
        <v>581</v>
      </c>
      <c r="AR255" t="s">
        <v>582</v>
      </c>
      <c r="AS255" t="s">
        <v>32</v>
      </c>
      <c r="AT255" t="s">
        <v>574</v>
      </c>
      <c r="AU255" t="s">
        <v>575</v>
      </c>
      <c r="AV255" t="s">
        <v>576</v>
      </c>
      <c r="AW255" t="s">
        <v>577</v>
      </c>
      <c r="AX255" t="s">
        <v>578</v>
      </c>
      <c r="AY255" t="s">
        <v>556</v>
      </c>
      <c r="BA255" t="s">
        <v>579</v>
      </c>
      <c r="BB255" t="s">
        <v>558</v>
      </c>
      <c r="BC255" t="s">
        <v>33</v>
      </c>
      <c r="BD255" t="s">
        <v>582</v>
      </c>
      <c r="BH255" t="s">
        <v>560</v>
      </c>
      <c r="BI255" t="s">
        <v>561</v>
      </c>
      <c r="BK255" t="s">
        <v>607</v>
      </c>
      <c r="BL255" t="s">
        <v>562</v>
      </c>
      <c r="BM255" t="s">
        <v>1447</v>
      </c>
      <c r="BN255">
        <v>1</v>
      </c>
      <c r="BO255">
        <v>349.42</v>
      </c>
      <c r="BR255" t="s">
        <v>549</v>
      </c>
    </row>
    <row r="256" spans="1:70">
      <c r="A256" t="s">
        <v>1444</v>
      </c>
      <c r="B256" t="s">
        <v>32</v>
      </c>
      <c r="C256" t="s">
        <v>567</v>
      </c>
      <c r="D256" t="s">
        <v>568</v>
      </c>
      <c r="E256" t="s">
        <v>34</v>
      </c>
      <c r="F256">
        <v>6</v>
      </c>
      <c r="H256" t="s">
        <v>1445</v>
      </c>
      <c r="R256" t="s">
        <v>1446</v>
      </c>
      <c r="S256">
        <v>4</v>
      </c>
      <c r="T256" t="s">
        <v>586</v>
      </c>
      <c r="U256" t="s">
        <v>547</v>
      </c>
      <c r="V256">
        <v>4772.25</v>
      </c>
      <c r="W256">
        <v>5302.5</v>
      </c>
      <c r="Z256" t="s">
        <v>587</v>
      </c>
      <c r="AA256" t="s">
        <v>549</v>
      </c>
      <c r="AB256" t="s">
        <v>748</v>
      </c>
      <c r="AC256" t="s">
        <v>550</v>
      </c>
      <c r="AD256" t="s">
        <v>551</v>
      </c>
      <c r="BR256" t="s">
        <v>549</v>
      </c>
    </row>
    <row r="257" spans="1:70">
      <c r="A257" t="s">
        <v>1444</v>
      </c>
      <c r="B257" t="s">
        <v>32</v>
      </c>
      <c r="C257" t="s">
        <v>567</v>
      </c>
      <c r="D257" t="s">
        <v>568</v>
      </c>
      <c r="E257" t="s">
        <v>34</v>
      </c>
      <c r="F257">
        <v>6</v>
      </c>
      <c r="H257" t="s">
        <v>1445</v>
      </c>
      <c r="R257" t="s">
        <v>1446</v>
      </c>
      <c r="S257">
        <v>1</v>
      </c>
      <c r="T257" t="s">
        <v>572</v>
      </c>
      <c r="U257" t="s">
        <v>547</v>
      </c>
      <c r="V257">
        <v>5965.32</v>
      </c>
      <c r="W257">
        <v>6628.13</v>
      </c>
      <c r="Z257" t="s">
        <v>573</v>
      </c>
      <c r="AA257" t="s">
        <v>549</v>
      </c>
      <c r="AB257" t="s">
        <v>748</v>
      </c>
      <c r="AC257" t="s">
        <v>550</v>
      </c>
      <c r="AD257" t="s">
        <v>551</v>
      </c>
      <c r="BR257" t="s">
        <v>549</v>
      </c>
    </row>
    <row r="258" spans="1:70">
      <c r="A258" t="s">
        <v>1448</v>
      </c>
      <c r="B258" t="s">
        <v>64</v>
      </c>
      <c r="C258" t="s">
        <v>821</v>
      </c>
      <c r="D258" t="s">
        <v>822</v>
      </c>
      <c r="E258" t="s">
        <v>66</v>
      </c>
      <c r="F258">
        <v>1</v>
      </c>
      <c r="G258" t="s">
        <v>539</v>
      </c>
      <c r="H258" t="s">
        <v>1449</v>
      </c>
      <c r="I258" t="s">
        <v>748</v>
      </c>
      <c r="J258" t="s">
        <v>542</v>
      </c>
      <c r="K258">
        <v>6628.13</v>
      </c>
      <c r="L258">
        <v>400</v>
      </c>
      <c r="M258" t="s">
        <v>543</v>
      </c>
      <c r="N258" t="s">
        <v>544</v>
      </c>
      <c r="O258">
        <v>132.30000000000001</v>
      </c>
      <c r="P258">
        <v>7028.13</v>
      </c>
      <c r="R258" t="s">
        <v>1450</v>
      </c>
      <c r="S258">
        <v>1</v>
      </c>
      <c r="T258" t="s">
        <v>572</v>
      </c>
      <c r="U258" t="s">
        <v>547</v>
      </c>
      <c r="V258">
        <v>6628.13</v>
      </c>
      <c r="W258">
        <v>6628.13</v>
      </c>
      <c r="Z258" t="s">
        <v>573</v>
      </c>
      <c r="AA258" t="s">
        <v>549</v>
      </c>
      <c r="AB258" t="s">
        <v>748</v>
      </c>
      <c r="AC258" t="s">
        <v>550</v>
      </c>
      <c r="AD258" t="s">
        <v>551</v>
      </c>
      <c r="AE258" t="s">
        <v>64</v>
      </c>
      <c r="AF258" t="s">
        <v>1451</v>
      </c>
      <c r="AG258" t="s">
        <v>826</v>
      </c>
      <c r="AI258" t="s">
        <v>827</v>
      </c>
      <c r="AJ258" t="s">
        <v>1452</v>
      </c>
      <c r="AK258" t="s">
        <v>556</v>
      </c>
      <c r="AM258" t="s">
        <v>690</v>
      </c>
      <c r="AN258" t="s">
        <v>558</v>
      </c>
      <c r="AO258" t="s">
        <v>65</v>
      </c>
      <c r="AP258" t="s">
        <v>549</v>
      </c>
      <c r="AQ258" t="s">
        <v>549</v>
      </c>
      <c r="AR258" t="s">
        <v>830</v>
      </c>
      <c r="AS258" t="s">
        <v>64</v>
      </c>
      <c r="AT258" t="s">
        <v>1451</v>
      </c>
      <c r="AU258" t="s">
        <v>826</v>
      </c>
      <c r="AW258" t="s">
        <v>827</v>
      </c>
      <c r="AX258" t="s">
        <v>1452</v>
      </c>
      <c r="AY258" t="s">
        <v>556</v>
      </c>
      <c r="BA258" t="s">
        <v>690</v>
      </c>
      <c r="BB258" t="s">
        <v>558</v>
      </c>
      <c r="BC258" t="s">
        <v>65</v>
      </c>
      <c r="BD258" t="s">
        <v>830</v>
      </c>
      <c r="BH258" t="s">
        <v>560</v>
      </c>
      <c r="BI258" t="s">
        <v>561</v>
      </c>
      <c r="BK258" t="s">
        <v>607</v>
      </c>
      <c r="BL258" t="s">
        <v>562</v>
      </c>
      <c r="BM258" t="s">
        <v>1453</v>
      </c>
      <c r="BN258">
        <v>1</v>
      </c>
      <c r="BO258">
        <v>65.63</v>
      </c>
      <c r="BP258">
        <v>20</v>
      </c>
      <c r="BQ258">
        <v>66.67</v>
      </c>
      <c r="BR258" t="s">
        <v>549</v>
      </c>
    </row>
    <row r="259" spans="1:70">
      <c r="A259" t="s">
        <v>1454</v>
      </c>
      <c r="B259" t="s">
        <v>390</v>
      </c>
      <c r="C259" t="s">
        <v>1455</v>
      </c>
      <c r="D259" t="s">
        <v>1456</v>
      </c>
      <c r="E259" t="s">
        <v>391</v>
      </c>
      <c r="F259">
        <v>1</v>
      </c>
      <c r="G259" t="s">
        <v>1140</v>
      </c>
      <c r="H259" t="s">
        <v>1457</v>
      </c>
      <c r="I259" t="s">
        <v>1142</v>
      </c>
      <c r="J259" t="s">
        <v>542</v>
      </c>
      <c r="K259">
        <v>2461.88</v>
      </c>
      <c r="L259">
        <v>400</v>
      </c>
      <c r="M259" t="s">
        <v>543</v>
      </c>
      <c r="N259" t="s">
        <v>544</v>
      </c>
      <c r="O259">
        <v>91.05</v>
      </c>
      <c r="P259">
        <v>2861.88</v>
      </c>
      <c r="R259" t="s">
        <v>1458</v>
      </c>
      <c r="S259">
        <v>1</v>
      </c>
      <c r="T259" t="s">
        <v>704</v>
      </c>
      <c r="U259" t="s">
        <v>547</v>
      </c>
      <c r="V259">
        <v>2461.88</v>
      </c>
      <c r="W259">
        <v>2461.88</v>
      </c>
      <c r="Z259" t="s">
        <v>705</v>
      </c>
      <c r="AA259" t="s">
        <v>549</v>
      </c>
      <c r="AB259" t="s">
        <v>1142</v>
      </c>
      <c r="AC259" t="s">
        <v>550</v>
      </c>
      <c r="AD259" t="s">
        <v>551</v>
      </c>
      <c r="AE259" t="s">
        <v>1459</v>
      </c>
      <c r="AF259" t="s">
        <v>1460</v>
      </c>
      <c r="AI259" t="s">
        <v>1461</v>
      </c>
      <c r="AJ259" t="s">
        <v>1462</v>
      </c>
      <c r="AK259" t="s">
        <v>556</v>
      </c>
      <c r="AM259" t="s">
        <v>1463</v>
      </c>
      <c r="AN259" t="s">
        <v>558</v>
      </c>
      <c r="AO259" t="s">
        <v>1464</v>
      </c>
      <c r="AP259" t="s">
        <v>549</v>
      </c>
      <c r="AQ259" t="s">
        <v>549</v>
      </c>
      <c r="AR259" t="s">
        <v>1465</v>
      </c>
      <c r="AS259" t="s">
        <v>1459</v>
      </c>
      <c r="AT259" t="s">
        <v>1460</v>
      </c>
      <c r="AW259" t="s">
        <v>1461</v>
      </c>
      <c r="AX259" t="s">
        <v>1462</v>
      </c>
      <c r="AY259" t="s">
        <v>556</v>
      </c>
      <c r="BA259" t="s">
        <v>1463</v>
      </c>
      <c r="BB259" t="s">
        <v>558</v>
      </c>
      <c r="BC259" t="s">
        <v>1464</v>
      </c>
      <c r="BD259" t="s">
        <v>1465</v>
      </c>
      <c r="BH259" t="s">
        <v>560</v>
      </c>
      <c r="BI259" t="s">
        <v>561</v>
      </c>
      <c r="BK259" t="s">
        <v>607</v>
      </c>
      <c r="BL259" t="s">
        <v>562</v>
      </c>
      <c r="BM259" t="s">
        <v>1466</v>
      </c>
      <c r="BN259">
        <v>1</v>
      </c>
      <c r="BO259">
        <v>24.38</v>
      </c>
      <c r="BP259">
        <v>20</v>
      </c>
      <c r="BQ259">
        <v>66.67</v>
      </c>
      <c r="BR259" t="s">
        <v>549</v>
      </c>
    </row>
    <row r="260" spans="1:70">
      <c r="A260" t="s">
        <v>1467</v>
      </c>
      <c r="B260" t="s">
        <v>237</v>
      </c>
      <c r="C260" t="s">
        <v>1468</v>
      </c>
      <c r="D260" t="s">
        <v>1469</v>
      </c>
      <c r="E260" t="s">
        <v>239</v>
      </c>
      <c r="F260">
        <v>1</v>
      </c>
      <c r="G260" t="s">
        <v>539</v>
      </c>
      <c r="H260" t="s">
        <v>1470</v>
      </c>
      <c r="I260" t="s">
        <v>748</v>
      </c>
      <c r="J260" t="s">
        <v>542</v>
      </c>
      <c r="K260">
        <v>2461.8000000000002</v>
      </c>
      <c r="L260">
        <v>400</v>
      </c>
      <c r="M260" t="s">
        <v>543</v>
      </c>
      <c r="N260" t="s">
        <v>544</v>
      </c>
      <c r="O260">
        <v>91.04</v>
      </c>
      <c r="P260">
        <v>2861.8</v>
      </c>
      <c r="R260" t="s">
        <v>1471</v>
      </c>
      <c r="S260">
        <v>1</v>
      </c>
      <c r="T260" t="s">
        <v>1334</v>
      </c>
      <c r="U260" t="s">
        <v>547</v>
      </c>
      <c r="V260">
        <v>2461.8000000000002</v>
      </c>
      <c r="W260">
        <v>3282.4</v>
      </c>
      <c r="X260">
        <v>2461.8000000000002</v>
      </c>
      <c r="Z260" t="s">
        <v>1335</v>
      </c>
      <c r="AA260" t="s">
        <v>549</v>
      </c>
      <c r="AB260" t="s">
        <v>748</v>
      </c>
      <c r="AC260" t="s">
        <v>550</v>
      </c>
      <c r="AD260" t="s">
        <v>551</v>
      </c>
      <c r="AE260" t="s">
        <v>237</v>
      </c>
      <c r="AF260" t="s">
        <v>1472</v>
      </c>
      <c r="AG260" t="s">
        <v>1473</v>
      </c>
      <c r="AI260" t="s">
        <v>577</v>
      </c>
      <c r="AJ260" t="s">
        <v>1120</v>
      </c>
      <c r="AK260" t="s">
        <v>556</v>
      </c>
      <c r="AM260" t="s">
        <v>1121</v>
      </c>
      <c r="AN260" t="s">
        <v>558</v>
      </c>
      <c r="AO260" t="s">
        <v>238</v>
      </c>
      <c r="AP260" t="s">
        <v>549</v>
      </c>
      <c r="AQ260" t="s">
        <v>549</v>
      </c>
      <c r="AR260" t="s">
        <v>1474</v>
      </c>
      <c r="AS260" t="s">
        <v>237</v>
      </c>
      <c r="AT260" t="s">
        <v>1472</v>
      </c>
      <c r="AU260" t="s">
        <v>1473</v>
      </c>
      <c r="AW260" t="s">
        <v>577</v>
      </c>
      <c r="AX260" t="s">
        <v>1120</v>
      </c>
      <c r="AY260" t="s">
        <v>556</v>
      </c>
      <c r="BA260" t="s">
        <v>1121</v>
      </c>
      <c r="BB260" t="s">
        <v>558</v>
      </c>
      <c r="BC260" t="s">
        <v>238</v>
      </c>
      <c r="BD260" t="s">
        <v>1474</v>
      </c>
      <c r="BH260" t="s">
        <v>560</v>
      </c>
      <c r="BI260" t="s">
        <v>561</v>
      </c>
      <c r="BK260" t="s">
        <v>607</v>
      </c>
      <c r="BL260" t="s">
        <v>562</v>
      </c>
      <c r="BM260" t="s">
        <v>1475</v>
      </c>
      <c r="BN260">
        <v>1</v>
      </c>
      <c r="BO260">
        <v>24.37</v>
      </c>
      <c r="BP260">
        <v>20</v>
      </c>
      <c r="BQ260">
        <v>66.67</v>
      </c>
      <c r="BR260" t="s">
        <v>549</v>
      </c>
    </row>
    <row r="261" spans="1:70">
      <c r="A261" t="s">
        <v>1476</v>
      </c>
      <c r="B261" t="s">
        <v>56</v>
      </c>
      <c r="C261" t="s">
        <v>794</v>
      </c>
      <c r="D261" t="s">
        <v>795</v>
      </c>
      <c r="E261" t="s">
        <v>58</v>
      </c>
      <c r="F261">
        <v>1</v>
      </c>
      <c r="G261" t="s">
        <v>539</v>
      </c>
      <c r="H261" t="s">
        <v>1477</v>
      </c>
      <c r="I261" t="s">
        <v>748</v>
      </c>
      <c r="J261" t="s">
        <v>542</v>
      </c>
      <c r="K261">
        <v>3131</v>
      </c>
      <c r="L261">
        <v>400</v>
      </c>
      <c r="M261" t="s">
        <v>543</v>
      </c>
      <c r="N261" t="s">
        <v>544</v>
      </c>
      <c r="O261">
        <v>97.67</v>
      </c>
      <c r="P261">
        <v>3531</v>
      </c>
      <c r="R261" t="s">
        <v>1478</v>
      </c>
      <c r="S261">
        <v>1</v>
      </c>
      <c r="T261" t="s">
        <v>799</v>
      </c>
      <c r="U261" t="s">
        <v>547</v>
      </c>
      <c r="V261">
        <v>3131</v>
      </c>
      <c r="W261">
        <v>3131</v>
      </c>
      <c r="Z261" t="s">
        <v>800</v>
      </c>
      <c r="AA261" t="s">
        <v>549</v>
      </c>
      <c r="AB261" t="s">
        <v>748</v>
      </c>
      <c r="AC261" t="s">
        <v>550</v>
      </c>
      <c r="AD261" t="s">
        <v>551</v>
      </c>
      <c r="AE261" t="s">
        <v>56</v>
      </c>
      <c r="AF261" t="s">
        <v>801</v>
      </c>
      <c r="AG261" t="s">
        <v>802</v>
      </c>
      <c r="AI261" t="s">
        <v>803</v>
      </c>
      <c r="AJ261" t="s">
        <v>804</v>
      </c>
      <c r="AK261" t="s">
        <v>556</v>
      </c>
      <c r="AM261" t="s">
        <v>805</v>
      </c>
      <c r="AN261" t="s">
        <v>558</v>
      </c>
      <c r="AO261" t="s">
        <v>57</v>
      </c>
      <c r="AP261" t="s">
        <v>549</v>
      </c>
      <c r="AQ261" t="s">
        <v>549</v>
      </c>
      <c r="AR261" t="s">
        <v>806</v>
      </c>
      <c r="AS261" t="s">
        <v>56</v>
      </c>
      <c r="AT261" t="s">
        <v>801</v>
      </c>
      <c r="AU261" t="s">
        <v>802</v>
      </c>
      <c r="AW261" t="s">
        <v>803</v>
      </c>
      <c r="AX261" t="s">
        <v>804</v>
      </c>
      <c r="AY261" t="s">
        <v>556</v>
      </c>
      <c r="BA261" t="s">
        <v>805</v>
      </c>
      <c r="BB261" t="s">
        <v>558</v>
      </c>
      <c r="BC261" t="s">
        <v>57</v>
      </c>
      <c r="BD261" t="s">
        <v>806</v>
      </c>
      <c r="BH261" t="s">
        <v>560</v>
      </c>
      <c r="BI261" t="s">
        <v>561</v>
      </c>
      <c r="BK261" t="s">
        <v>607</v>
      </c>
      <c r="BL261" t="s">
        <v>562</v>
      </c>
      <c r="BM261" t="s">
        <v>1479</v>
      </c>
      <c r="BN261">
        <v>1</v>
      </c>
      <c r="BO261">
        <v>31</v>
      </c>
      <c r="BP261">
        <v>20</v>
      </c>
      <c r="BQ261">
        <v>66.67</v>
      </c>
      <c r="BR261" t="s">
        <v>549</v>
      </c>
    </row>
    <row r="262" spans="1:70">
      <c r="A262" t="s">
        <v>1480</v>
      </c>
      <c r="B262" t="s">
        <v>189</v>
      </c>
      <c r="C262" t="s">
        <v>1481</v>
      </c>
      <c r="D262" t="s">
        <v>1482</v>
      </c>
      <c r="E262" t="s">
        <v>191</v>
      </c>
      <c r="F262">
        <v>1</v>
      </c>
      <c r="G262" t="s">
        <v>1140</v>
      </c>
      <c r="H262" t="s">
        <v>1483</v>
      </c>
      <c r="I262" t="s">
        <v>1142</v>
      </c>
      <c r="J262" t="s">
        <v>542</v>
      </c>
      <c r="K262">
        <v>725.94</v>
      </c>
      <c r="L262">
        <v>400</v>
      </c>
      <c r="M262" t="s">
        <v>543</v>
      </c>
      <c r="N262" t="s">
        <v>544</v>
      </c>
      <c r="O262">
        <v>73.86</v>
      </c>
      <c r="P262">
        <v>1125.94</v>
      </c>
      <c r="R262" t="s">
        <v>1484</v>
      </c>
      <c r="S262">
        <v>1</v>
      </c>
      <c r="T262" t="s">
        <v>818</v>
      </c>
      <c r="U262" t="s">
        <v>547</v>
      </c>
      <c r="V262">
        <v>725.94</v>
      </c>
      <c r="W262">
        <v>725.94</v>
      </c>
      <c r="Z262" t="s">
        <v>819</v>
      </c>
      <c r="AA262" t="s">
        <v>549</v>
      </c>
      <c r="AB262" t="s">
        <v>1142</v>
      </c>
      <c r="AC262" t="s">
        <v>550</v>
      </c>
      <c r="AD262" t="s">
        <v>551</v>
      </c>
      <c r="AE262" t="s">
        <v>189</v>
      </c>
      <c r="AF262" t="s">
        <v>1485</v>
      </c>
      <c r="AG262" t="s">
        <v>1486</v>
      </c>
      <c r="AI262" t="s">
        <v>1487</v>
      </c>
      <c r="AJ262" t="s">
        <v>1488</v>
      </c>
      <c r="AK262" t="s">
        <v>556</v>
      </c>
      <c r="AM262" t="s">
        <v>690</v>
      </c>
      <c r="AN262" t="s">
        <v>558</v>
      </c>
      <c r="AO262" t="s">
        <v>190</v>
      </c>
      <c r="AP262" t="s">
        <v>549</v>
      </c>
      <c r="AQ262" t="s">
        <v>549</v>
      </c>
      <c r="AR262" t="s">
        <v>1489</v>
      </c>
      <c r="AS262" t="s">
        <v>189</v>
      </c>
      <c r="AT262" t="s">
        <v>1485</v>
      </c>
      <c r="AU262" t="s">
        <v>1486</v>
      </c>
      <c r="AW262" t="s">
        <v>1487</v>
      </c>
      <c r="AX262" t="s">
        <v>1488</v>
      </c>
      <c r="AY262" t="s">
        <v>556</v>
      </c>
      <c r="BA262" t="s">
        <v>690</v>
      </c>
      <c r="BB262" t="s">
        <v>558</v>
      </c>
      <c r="BC262" t="s">
        <v>190</v>
      </c>
      <c r="BD262" t="s">
        <v>1489</v>
      </c>
      <c r="BH262" t="s">
        <v>560</v>
      </c>
      <c r="BI262" t="s">
        <v>561</v>
      </c>
      <c r="BK262" t="s">
        <v>607</v>
      </c>
      <c r="BL262" t="s">
        <v>562</v>
      </c>
      <c r="BM262" t="s">
        <v>1490</v>
      </c>
      <c r="BN262">
        <v>1</v>
      </c>
      <c r="BO262">
        <v>7.19</v>
      </c>
      <c r="BP262">
        <v>20</v>
      </c>
      <c r="BQ262">
        <v>66.67</v>
      </c>
      <c r="BR262" t="s">
        <v>549</v>
      </c>
    </row>
    <row r="263" spans="1:70">
      <c r="A263" t="s">
        <v>1491</v>
      </c>
      <c r="B263" t="s">
        <v>183</v>
      </c>
      <c r="C263" t="s">
        <v>1492</v>
      </c>
      <c r="D263" t="s">
        <v>1493</v>
      </c>
      <c r="E263" t="s">
        <v>185</v>
      </c>
      <c r="F263">
        <v>1</v>
      </c>
      <c r="G263" t="s">
        <v>539</v>
      </c>
      <c r="H263" t="s">
        <v>1494</v>
      </c>
      <c r="I263" t="s">
        <v>748</v>
      </c>
      <c r="J263" t="s">
        <v>542</v>
      </c>
      <c r="K263">
        <v>13029</v>
      </c>
      <c r="L263">
        <v>200</v>
      </c>
      <c r="M263" t="s">
        <v>543</v>
      </c>
      <c r="N263" t="s">
        <v>544</v>
      </c>
      <c r="O263">
        <v>155.88</v>
      </c>
      <c r="P263">
        <v>12577.56</v>
      </c>
      <c r="Q263">
        <v>651.44000000000005</v>
      </c>
      <c r="R263" t="s">
        <v>1495</v>
      </c>
      <c r="S263">
        <v>1</v>
      </c>
      <c r="T263" t="s">
        <v>869</v>
      </c>
      <c r="U263" t="s">
        <v>547</v>
      </c>
      <c r="V263">
        <v>3598.13</v>
      </c>
      <c r="W263">
        <v>3787.5</v>
      </c>
      <c r="Z263" t="s">
        <v>870</v>
      </c>
      <c r="AA263" t="s">
        <v>549</v>
      </c>
      <c r="AB263" t="s">
        <v>748</v>
      </c>
      <c r="AC263" t="s">
        <v>550</v>
      </c>
      <c r="AD263" t="s">
        <v>551</v>
      </c>
      <c r="AE263" t="s">
        <v>1496</v>
      </c>
      <c r="AF263" t="s">
        <v>1497</v>
      </c>
      <c r="AG263" t="s">
        <v>1498</v>
      </c>
      <c r="AH263" t="s">
        <v>1499</v>
      </c>
      <c r="AI263" t="s">
        <v>577</v>
      </c>
      <c r="AJ263" t="s">
        <v>1500</v>
      </c>
      <c r="AK263" t="s">
        <v>556</v>
      </c>
      <c r="AM263" t="s">
        <v>875</v>
      </c>
      <c r="AN263" t="s">
        <v>558</v>
      </c>
      <c r="AO263" t="s">
        <v>184</v>
      </c>
      <c r="AP263" t="s">
        <v>1501</v>
      </c>
      <c r="AQ263" t="s">
        <v>1502</v>
      </c>
      <c r="AR263" t="s">
        <v>1503</v>
      </c>
      <c r="AS263" t="s">
        <v>1496</v>
      </c>
      <c r="AT263" t="s">
        <v>1497</v>
      </c>
      <c r="AU263" t="s">
        <v>1498</v>
      </c>
      <c r="AV263" t="s">
        <v>1499</v>
      </c>
      <c r="AW263" t="s">
        <v>577</v>
      </c>
      <c r="AX263" t="s">
        <v>1500</v>
      </c>
      <c r="AY263" t="s">
        <v>556</v>
      </c>
      <c r="BA263" t="s">
        <v>875</v>
      </c>
      <c r="BB263" t="s">
        <v>558</v>
      </c>
      <c r="BC263" t="s">
        <v>184</v>
      </c>
      <c r="BD263" t="s">
        <v>1503</v>
      </c>
      <c r="BH263" t="s">
        <v>560</v>
      </c>
      <c r="BI263" t="s">
        <v>561</v>
      </c>
      <c r="BK263" t="s">
        <v>607</v>
      </c>
      <c r="BL263" t="s">
        <v>562</v>
      </c>
      <c r="BM263" t="s">
        <v>1504</v>
      </c>
      <c r="BN263">
        <v>1</v>
      </c>
      <c r="BO263">
        <v>122.55</v>
      </c>
      <c r="BP263">
        <v>20</v>
      </c>
      <c r="BQ263">
        <v>33.33</v>
      </c>
      <c r="BR263" t="s">
        <v>549</v>
      </c>
    </row>
    <row r="264" spans="1:70">
      <c r="A264" t="s">
        <v>1491</v>
      </c>
      <c r="B264" t="s">
        <v>183</v>
      </c>
      <c r="C264" t="s">
        <v>1492</v>
      </c>
      <c r="D264" t="s">
        <v>1493</v>
      </c>
      <c r="E264" t="s">
        <v>185</v>
      </c>
      <c r="F264">
        <v>1</v>
      </c>
      <c r="H264" t="s">
        <v>1494</v>
      </c>
      <c r="R264" t="s">
        <v>1495</v>
      </c>
      <c r="S264">
        <v>1</v>
      </c>
      <c r="T264" t="s">
        <v>586</v>
      </c>
      <c r="U264" t="s">
        <v>547</v>
      </c>
      <c r="V264">
        <v>5037.38</v>
      </c>
      <c r="W264">
        <v>5302.5</v>
      </c>
      <c r="Z264" t="s">
        <v>587</v>
      </c>
      <c r="AA264" t="s">
        <v>549</v>
      </c>
      <c r="AB264" t="s">
        <v>748</v>
      </c>
      <c r="AC264" t="s">
        <v>550</v>
      </c>
      <c r="AD264" t="s">
        <v>551</v>
      </c>
      <c r="BR264" t="s">
        <v>549</v>
      </c>
    </row>
    <row r="265" spans="1:70">
      <c r="A265" t="s">
        <v>1491</v>
      </c>
      <c r="B265" t="s">
        <v>183</v>
      </c>
      <c r="C265" t="s">
        <v>1492</v>
      </c>
      <c r="D265" t="s">
        <v>1493</v>
      </c>
      <c r="E265" t="s">
        <v>185</v>
      </c>
      <c r="F265">
        <v>1</v>
      </c>
      <c r="H265" t="s">
        <v>1494</v>
      </c>
      <c r="R265" t="s">
        <v>1495</v>
      </c>
      <c r="S265">
        <v>1</v>
      </c>
      <c r="T265" t="s">
        <v>1268</v>
      </c>
      <c r="U265" t="s">
        <v>547</v>
      </c>
      <c r="V265">
        <v>1727.1</v>
      </c>
      <c r="W265">
        <v>1818</v>
      </c>
      <c r="Z265" t="s">
        <v>1269</v>
      </c>
      <c r="AA265" t="s">
        <v>549</v>
      </c>
      <c r="AB265" t="s">
        <v>748</v>
      </c>
      <c r="AC265" t="s">
        <v>550</v>
      </c>
      <c r="AD265" t="s">
        <v>551</v>
      </c>
      <c r="BR265" t="s">
        <v>549</v>
      </c>
    </row>
    <row r="266" spans="1:70">
      <c r="A266" t="s">
        <v>1491</v>
      </c>
      <c r="B266" t="s">
        <v>183</v>
      </c>
      <c r="C266" t="s">
        <v>1492</v>
      </c>
      <c r="D266" t="s">
        <v>1493</v>
      </c>
      <c r="E266" t="s">
        <v>185</v>
      </c>
      <c r="F266">
        <v>1</v>
      </c>
      <c r="H266" t="s">
        <v>1494</v>
      </c>
      <c r="R266" t="s">
        <v>1495</v>
      </c>
      <c r="S266">
        <v>1</v>
      </c>
      <c r="T266" t="s">
        <v>1398</v>
      </c>
      <c r="U266" t="s">
        <v>547</v>
      </c>
      <c r="V266">
        <v>2014.95</v>
      </c>
      <c r="W266">
        <v>2121</v>
      </c>
      <c r="Z266" t="s">
        <v>1399</v>
      </c>
      <c r="AA266" t="s">
        <v>549</v>
      </c>
      <c r="AB266" t="s">
        <v>748</v>
      </c>
      <c r="AC266" t="s">
        <v>550</v>
      </c>
      <c r="AD266" t="s">
        <v>551</v>
      </c>
      <c r="BR266" t="s">
        <v>549</v>
      </c>
    </row>
    <row r="267" spans="1:70">
      <c r="A267" t="s">
        <v>1505</v>
      </c>
      <c r="B267" t="s">
        <v>326</v>
      </c>
      <c r="C267" t="s">
        <v>645</v>
      </c>
      <c r="D267" t="s">
        <v>646</v>
      </c>
      <c r="E267" t="s">
        <v>328</v>
      </c>
      <c r="F267">
        <v>1</v>
      </c>
      <c r="G267" t="s">
        <v>539</v>
      </c>
      <c r="H267" t="s">
        <v>1506</v>
      </c>
      <c r="I267" t="s">
        <v>748</v>
      </c>
      <c r="J267" t="s">
        <v>542</v>
      </c>
      <c r="K267">
        <v>4166.25</v>
      </c>
      <c r="L267">
        <v>400</v>
      </c>
      <c r="M267" t="s">
        <v>543</v>
      </c>
      <c r="N267" t="s">
        <v>544</v>
      </c>
      <c r="O267">
        <v>107.92</v>
      </c>
      <c r="P267">
        <v>4566.25</v>
      </c>
      <c r="R267" t="s">
        <v>1507</v>
      </c>
      <c r="S267">
        <v>1</v>
      </c>
      <c r="T267" t="s">
        <v>649</v>
      </c>
      <c r="U267" t="s">
        <v>547</v>
      </c>
      <c r="V267">
        <v>4166.25</v>
      </c>
      <c r="W267">
        <v>4166.25</v>
      </c>
      <c r="Z267" t="s">
        <v>650</v>
      </c>
      <c r="AA267" t="s">
        <v>549</v>
      </c>
      <c r="AB267" t="s">
        <v>748</v>
      </c>
      <c r="AC267" t="s">
        <v>550</v>
      </c>
      <c r="AD267" t="s">
        <v>551</v>
      </c>
      <c r="AE267" t="s">
        <v>651</v>
      </c>
      <c r="AF267" t="s">
        <v>652</v>
      </c>
      <c r="AG267" t="s">
        <v>653</v>
      </c>
      <c r="AH267" t="s">
        <v>654</v>
      </c>
      <c r="AI267" t="s">
        <v>577</v>
      </c>
      <c r="AJ267" t="s">
        <v>655</v>
      </c>
      <c r="AK267" t="s">
        <v>556</v>
      </c>
      <c r="AM267" t="s">
        <v>579</v>
      </c>
      <c r="AN267" t="s">
        <v>558</v>
      </c>
      <c r="AO267" t="s">
        <v>327</v>
      </c>
      <c r="AP267" t="s">
        <v>656</v>
      </c>
      <c r="AQ267" t="s">
        <v>579</v>
      </c>
      <c r="AR267" t="s">
        <v>657</v>
      </c>
      <c r="AS267" t="s">
        <v>651</v>
      </c>
      <c r="AT267" t="s">
        <v>652</v>
      </c>
      <c r="AU267" t="s">
        <v>653</v>
      </c>
      <c r="AV267" t="s">
        <v>654</v>
      </c>
      <c r="AW267" t="s">
        <v>577</v>
      </c>
      <c r="AX267" t="s">
        <v>655</v>
      </c>
      <c r="AY267" t="s">
        <v>556</v>
      </c>
      <c r="BA267" t="s">
        <v>579</v>
      </c>
      <c r="BB267" t="s">
        <v>558</v>
      </c>
      <c r="BC267" t="s">
        <v>327</v>
      </c>
      <c r="BD267" t="s">
        <v>657</v>
      </c>
      <c r="BH267" t="s">
        <v>560</v>
      </c>
      <c r="BI267" t="s">
        <v>561</v>
      </c>
      <c r="BK267" t="s">
        <v>607</v>
      </c>
      <c r="BL267" t="s">
        <v>562</v>
      </c>
      <c r="BM267" t="s">
        <v>1508</v>
      </c>
      <c r="BN267">
        <v>1</v>
      </c>
      <c r="BO267">
        <v>41.25</v>
      </c>
      <c r="BP267">
        <v>20</v>
      </c>
      <c r="BQ267">
        <v>66.67</v>
      </c>
      <c r="BR267" t="s">
        <v>549</v>
      </c>
    </row>
    <row r="268" spans="1:70">
      <c r="A268" t="s">
        <v>1509</v>
      </c>
      <c r="B268" t="s">
        <v>32</v>
      </c>
      <c r="C268" t="s">
        <v>567</v>
      </c>
      <c r="D268" t="s">
        <v>568</v>
      </c>
      <c r="E268" t="s">
        <v>34</v>
      </c>
      <c r="F268">
        <v>5</v>
      </c>
      <c r="G268" t="s">
        <v>539</v>
      </c>
      <c r="H268" t="s">
        <v>1510</v>
      </c>
      <c r="I268" t="s">
        <v>748</v>
      </c>
      <c r="J268" t="s">
        <v>542</v>
      </c>
      <c r="K268">
        <v>16134.75</v>
      </c>
      <c r="L268">
        <v>200</v>
      </c>
      <c r="M268" t="s">
        <v>543</v>
      </c>
      <c r="N268" t="s">
        <v>544</v>
      </c>
      <c r="O268">
        <v>185.09</v>
      </c>
      <c r="P268">
        <v>15528.02</v>
      </c>
      <c r="Q268">
        <v>806.73</v>
      </c>
      <c r="R268" t="s">
        <v>1511</v>
      </c>
      <c r="S268">
        <v>1</v>
      </c>
      <c r="T268" t="s">
        <v>588</v>
      </c>
      <c r="U268" t="s">
        <v>547</v>
      </c>
      <c r="V268">
        <v>3814.01</v>
      </c>
      <c r="W268">
        <v>4014.75</v>
      </c>
      <c r="Z268" t="s">
        <v>589</v>
      </c>
      <c r="AA268" t="s">
        <v>549</v>
      </c>
      <c r="AB268" t="s">
        <v>748</v>
      </c>
      <c r="AC268" t="s">
        <v>550</v>
      </c>
      <c r="AD268" t="s">
        <v>551</v>
      </c>
      <c r="AE268" t="s">
        <v>32</v>
      </c>
      <c r="AF268" t="s">
        <v>574</v>
      </c>
      <c r="AG268" t="s">
        <v>575</v>
      </c>
      <c r="AH268" t="s">
        <v>576</v>
      </c>
      <c r="AI268" t="s">
        <v>577</v>
      </c>
      <c r="AJ268" t="s">
        <v>578</v>
      </c>
      <c r="AK268" t="s">
        <v>556</v>
      </c>
      <c r="AM268" t="s">
        <v>579</v>
      </c>
      <c r="AN268" t="s">
        <v>558</v>
      </c>
      <c r="AO268" t="s">
        <v>33</v>
      </c>
      <c r="AP268" t="s">
        <v>580</v>
      </c>
      <c r="AQ268" t="s">
        <v>581</v>
      </c>
      <c r="AR268" t="s">
        <v>582</v>
      </c>
      <c r="AS268" t="s">
        <v>32</v>
      </c>
      <c r="AT268" t="s">
        <v>574</v>
      </c>
      <c r="AU268" t="s">
        <v>575</v>
      </c>
      <c r="AV268" t="s">
        <v>576</v>
      </c>
      <c r="AW268" t="s">
        <v>577</v>
      </c>
      <c r="AX268" t="s">
        <v>578</v>
      </c>
      <c r="AY268" t="s">
        <v>556</v>
      </c>
      <c r="BA268" t="s">
        <v>579</v>
      </c>
      <c r="BB268" t="s">
        <v>558</v>
      </c>
      <c r="BC268" t="s">
        <v>33</v>
      </c>
      <c r="BD268" t="s">
        <v>582</v>
      </c>
      <c r="BH268" t="s">
        <v>560</v>
      </c>
      <c r="BI268" t="s">
        <v>561</v>
      </c>
      <c r="BK268" t="s">
        <v>607</v>
      </c>
      <c r="BL268" t="s">
        <v>562</v>
      </c>
      <c r="BM268" t="s">
        <v>1512</v>
      </c>
      <c r="BN268">
        <v>1</v>
      </c>
      <c r="BO268">
        <v>151.76</v>
      </c>
      <c r="BP268">
        <v>20</v>
      </c>
      <c r="BQ268">
        <v>33.33</v>
      </c>
      <c r="BR268" t="s">
        <v>549</v>
      </c>
    </row>
    <row r="269" spans="1:70">
      <c r="A269" t="s">
        <v>1509</v>
      </c>
      <c r="B269" t="s">
        <v>32</v>
      </c>
      <c r="C269" t="s">
        <v>567</v>
      </c>
      <c r="D269" t="s">
        <v>568</v>
      </c>
      <c r="E269" t="s">
        <v>34</v>
      </c>
      <c r="F269">
        <v>5</v>
      </c>
      <c r="H269" t="s">
        <v>1510</v>
      </c>
      <c r="R269" t="s">
        <v>1511</v>
      </c>
      <c r="S269">
        <v>1</v>
      </c>
      <c r="T269" t="s">
        <v>628</v>
      </c>
      <c r="U269" t="s">
        <v>547</v>
      </c>
      <c r="V269">
        <v>6476.63</v>
      </c>
      <c r="W269">
        <v>6817.5</v>
      </c>
      <c r="Z269" t="s">
        <v>629</v>
      </c>
      <c r="AA269" t="s">
        <v>549</v>
      </c>
      <c r="AB269" t="s">
        <v>748</v>
      </c>
      <c r="AC269" t="s">
        <v>550</v>
      </c>
      <c r="AD269" t="s">
        <v>551</v>
      </c>
      <c r="BR269" t="s">
        <v>549</v>
      </c>
    </row>
    <row r="270" spans="1:70">
      <c r="A270" t="s">
        <v>1509</v>
      </c>
      <c r="B270" t="s">
        <v>32</v>
      </c>
      <c r="C270" t="s">
        <v>567</v>
      </c>
      <c r="D270" t="s">
        <v>568</v>
      </c>
      <c r="E270" t="s">
        <v>34</v>
      </c>
      <c r="F270">
        <v>5</v>
      </c>
      <c r="H270" t="s">
        <v>1510</v>
      </c>
      <c r="R270" t="s">
        <v>1511</v>
      </c>
      <c r="S270">
        <v>1</v>
      </c>
      <c r="T270" t="s">
        <v>586</v>
      </c>
      <c r="U270" t="s">
        <v>547</v>
      </c>
      <c r="V270">
        <v>5037.38</v>
      </c>
      <c r="W270">
        <v>5302.5</v>
      </c>
      <c r="Z270" t="s">
        <v>587</v>
      </c>
      <c r="AA270" t="s">
        <v>549</v>
      </c>
      <c r="AB270" t="s">
        <v>748</v>
      </c>
      <c r="AC270" t="s">
        <v>550</v>
      </c>
      <c r="AD270" t="s">
        <v>551</v>
      </c>
      <c r="BR270" t="s">
        <v>549</v>
      </c>
    </row>
    <row r="271" spans="1:70">
      <c r="A271" t="s">
        <v>1513</v>
      </c>
      <c r="B271" t="s">
        <v>39</v>
      </c>
      <c r="C271" t="s">
        <v>700</v>
      </c>
      <c r="D271" t="s">
        <v>701</v>
      </c>
      <c r="E271" t="s">
        <v>41</v>
      </c>
      <c r="F271">
        <v>1</v>
      </c>
      <c r="G271" t="s">
        <v>539</v>
      </c>
      <c r="H271" t="s">
        <v>1514</v>
      </c>
      <c r="I271" t="s">
        <v>748</v>
      </c>
      <c r="J271" t="s">
        <v>542</v>
      </c>
      <c r="K271">
        <v>4923.76</v>
      </c>
      <c r="L271">
        <v>400</v>
      </c>
      <c r="M271" t="s">
        <v>543</v>
      </c>
      <c r="N271" t="s">
        <v>544</v>
      </c>
      <c r="O271">
        <v>115.42</v>
      </c>
      <c r="P271">
        <v>5323.76</v>
      </c>
      <c r="R271" t="s">
        <v>1515</v>
      </c>
      <c r="S271">
        <v>2</v>
      </c>
      <c r="T271" t="s">
        <v>704</v>
      </c>
      <c r="U271" t="s">
        <v>547</v>
      </c>
      <c r="V271">
        <v>2461.88</v>
      </c>
      <c r="W271">
        <v>2461.88</v>
      </c>
      <c r="Z271" t="s">
        <v>705</v>
      </c>
      <c r="AA271" t="s">
        <v>549</v>
      </c>
      <c r="AB271" t="s">
        <v>748</v>
      </c>
      <c r="AC271" t="s">
        <v>550</v>
      </c>
      <c r="AD271" t="s">
        <v>551</v>
      </c>
      <c r="AE271" t="s">
        <v>706</v>
      </c>
      <c r="AF271" t="s">
        <v>707</v>
      </c>
      <c r="AH271" t="s">
        <v>708</v>
      </c>
      <c r="AI271" t="s">
        <v>709</v>
      </c>
      <c r="AJ271" t="s">
        <v>710</v>
      </c>
      <c r="AK271" t="s">
        <v>556</v>
      </c>
      <c r="AM271" t="s">
        <v>711</v>
      </c>
      <c r="AN271" t="s">
        <v>558</v>
      </c>
      <c r="AO271" t="s">
        <v>40</v>
      </c>
      <c r="AP271" t="s">
        <v>712</v>
      </c>
      <c r="AQ271" t="s">
        <v>713</v>
      </c>
      <c r="AR271" t="s">
        <v>714</v>
      </c>
      <c r="AS271" t="s">
        <v>706</v>
      </c>
      <c r="AT271" t="s">
        <v>707</v>
      </c>
      <c r="AV271" t="s">
        <v>708</v>
      </c>
      <c r="AW271" t="s">
        <v>709</v>
      </c>
      <c r="AX271" t="s">
        <v>710</v>
      </c>
      <c r="AY271" t="s">
        <v>556</v>
      </c>
      <c r="BA271" t="s">
        <v>711</v>
      </c>
      <c r="BB271" t="s">
        <v>558</v>
      </c>
      <c r="BC271" t="s">
        <v>40</v>
      </c>
      <c r="BD271" t="s">
        <v>714</v>
      </c>
      <c r="BH271" t="s">
        <v>560</v>
      </c>
      <c r="BI271" t="s">
        <v>561</v>
      </c>
      <c r="BK271" t="s">
        <v>607</v>
      </c>
      <c r="BL271" t="s">
        <v>562</v>
      </c>
      <c r="BM271" t="s">
        <v>1516</v>
      </c>
      <c r="BN271">
        <v>1</v>
      </c>
      <c r="BO271">
        <v>48.75</v>
      </c>
      <c r="BP271">
        <v>20</v>
      </c>
      <c r="BQ271">
        <v>66.67</v>
      </c>
      <c r="BR271" t="s">
        <v>549</v>
      </c>
    </row>
    <row r="272" spans="1:70">
      <c r="A272" t="s">
        <v>1517</v>
      </c>
      <c r="B272" t="s">
        <v>392</v>
      </c>
      <c r="C272" t="s">
        <v>1518</v>
      </c>
      <c r="D272" t="s">
        <v>1519</v>
      </c>
      <c r="E272" t="s">
        <v>393</v>
      </c>
      <c r="F272">
        <v>3</v>
      </c>
      <c r="G272" t="s">
        <v>1140</v>
      </c>
      <c r="H272" t="s">
        <v>1520</v>
      </c>
      <c r="I272" t="s">
        <v>1140</v>
      </c>
      <c r="J272" t="s">
        <v>542</v>
      </c>
      <c r="K272">
        <v>631.25</v>
      </c>
      <c r="L272">
        <v>0</v>
      </c>
      <c r="M272" t="s">
        <v>543</v>
      </c>
      <c r="N272" t="s">
        <v>544</v>
      </c>
      <c r="O272">
        <v>0.31</v>
      </c>
      <c r="P272">
        <v>31.56</v>
      </c>
      <c r="R272" t="s">
        <v>1521</v>
      </c>
      <c r="S272">
        <v>1</v>
      </c>
      <c r="T272" t="s">
        <v>946</v>
      </c>
      <c r="U272" t="s">
        <v>547</v>
      </c>
      <c r="V272">
        <v>31.56</v>
      </c>
      <c r="W272">
        <v>631.25</v>
      </c>
      <c r="Z272" t="s">
        <v>947</v>
      </c>
      <c r="AA272" t="s">
        <v>549</v>
      </c>
      <c r="AB272" t="s">
        <v>1140</v>
      </c>
      <c r="AC272" t="s">
        <v>550</v>
      </c>
      <c r="AD272" t="s">
        <v>551</v>
      </c>
      <c r="AE272" t="s">
        <v>392</v>
      </c>
      <c r="AF272" t="s">
        <v>1522</v>
      </c>
      <c r="AG272" t="s">
        <v>1523</v>
      </c>
      <c r="AI272" t="s">
        <v>966</v>
      </c>
      <c r="AJ272" t="s">
        <v>1524</v>
      </c>
      <c r="AK272" t="s">
        <v>556</v>
      </c>
      <c r="AM272" t="s">
        <v>1525</v>
      </c>
      <c r="AN272" t="s">
        <v>558</v>
      </c>
      <c r="AO272" t="s">
        <v>1526</v>
      </c>
      <c r="AP272" t="s">
        <v>549</v>
      </c>
      <c r="AQ272" t="s">
        <v>549</v>
      </c>
      <c r="AR272" t="s">
        <v>1527</v>
      </c>
      <c r="AS272" t="s">
        <v>392</v>
      </c>
      <c r="AT272" t="s">
        <v>1522</v>
      </c>
      <c r="AU272" t="s">
        <v>1523</v>
      </c>
      <c r="AW272" t="s">
        <v>966</v>
      </c>
      <c r="AX272" t="s">
        <v>1524</v>
      </c>
      <c r="AY272" t="s">
        <v>556</v>
      </c>
      <c r="BA272" t="s">
        <v>1525</v>
      </c>
      <c r="BB272" t="s">
        <v>558</v>
      </c>
      <c r="BC272" t="s">
        <v>1526</v>
      </c>
      <c r="BD272" t="s">
        <v>1527</v>
      </c>
      <c r="BH272" t="s">
        <v>560</v>
      </c>
      <c r="BI272" t="s">
        <v>561</v>
      </c>
      <c r="BJ272">
        <v>31.56</v>
      </c>
      <c r="BK272" t="s">
        <v>607</v>
      </c>
      <c r="BL272" t="s">
        <v>562</v>
      </c>
      <c r="BM272" t="s">
        <v>1528</v>
      </c>
      <c r="BN272">
        <v>1</v>
      </c>
      <c r="BO272">
        <v>0.31</v>
      </c>
      <c r="BR272" t="s">
        <v>1529</v>
      </c>
    </row>
    <row r="273" spans="1:70">
      <c r="A273" t="s">
        <v>1530</v>
      </c>
      <c r="B273" t="s">
        <v>258</v>
      </c>
      <c r="C273" t="s">
        <v>725</v>
      </c>
      <c r="D273" t="s">
        <v>1531</v>
      </c>
      <c r="E273" t="s">
        <v>260</v>
      </c>
      <c r="F273">
        <v>1</v>
      </c>
      <c r="G273" t="s">
        <v>539</v>
      </c>
      <c r="H273" t="s">
        <v>1532</v>
      </c>
      <c r="I273" t="s">
        <v>748</v>
      </c>
      <c r="J273" t="s">
        <v>542</v>
      </c>
      <c r="K273">
        <v>8138.13</v>
      </c>
      <c r="L273">
        <v>400</v>
      </c>
      <c r="M273" t="s">
        <v>543</v>
      </c>
      <c r="N273" t="s">
        <v>544</v>
      </c>
      <c r="O273">
        <v>147.25</v>
      </c>
      <c r="P273">
        <v>8538.1299999999992</v>
      </c>
      <c r="R273" t="s">
        <v>1533</v>
      </c>
      <c r="S273">
        <v>1</v>
      </c>
      <c r="T273" t="s">
        <v>564</v>
      </c>
      <c r="U273" t="s">
        <v>547</v>
      </c>
      <c r="V273">
        <v>2461.88</v>
      </c>
      <c r="W273">
        <v>2461.88</v>
      </c>
      <c r="Z273" t="s">
        <v>565</v>
      </c>
      <c r="AA273" t="s">
        <v>549</v>
      </c>
      <c r="AB273" t="s">
        <v>748</v>
      </c>
      <c r="AC273" t="s">
        <v>550</v>
      </c>
      <c r="AD273" t="s">
        <v>551</v>
      </c>
      <c r="AE273" t="s">
        <v>258</v>
      </c>
      <c r="AF273" t="s">
        <v>1534</v>
      </c>
      <c r="AG273" t="s">
        <v>1535</v>
      </c>
      <c r="AI273" t="s">
        <v>577</v>
      </c>
      <c r="AJ273" t="s">
        <v>1536</v>
      </c>
      <c r="AK273" t="s">
        <v>556</v>
      </c>
      <c r="AM273" t="s">
        <v>1121</v>
      </c>
      <c r="AN273" t="s">
        <v>558</v>
      </c>
      <c r="AO273" t="s">
        <v>1537</v>
      </c>
      <c r="AP273" t="s">
        <v>549</v>
      </c>
      <c r="AQ273" t="s">
        <v>549</v>
      </c>
      <c r="AR273" t="s">
        <v>1538</v>
      </c>
      <c r="AS273" t="s">
        <v>258</v>
      </c>
      <c r="AT273" t="s">
        <v>1534</v>
      </c>
      <c r="AU273" t="s">
        <v>1535</v>
      </c>
      <c r="AW273" t="s">
        <v>577</v>
      </c>
      <c r="AX273" t="s">
        <v>1536</v>
      </c>
      <c r="AY273" t="s">
        <v>556</v>
      </c>
      <c r="BA273" t="s">
        <v>1121</v>
      </c>
      <c r="BB273" t="s">
        <v>558</v>
      </c>
      <c r="BC273" t="s">
        <v>1537</v>
      </c>
      <c r="BD273" t="s">
        <v>1538</v>
      </c>
      <c r="BH273" t="s">
        <v>560</v>
      </c>
      <c r="BI273" t="s">
        <v>561</v>
      </c>
      <c r="BK273" t="s">
        <v>607</v>
      </c>
      <c r="BL273" t="s">
        <v>562</v>
      </c>
      <c r="BM273" t="s">
        <v>1539</v>
      </c>
      <c r="BN273">
        <v>1</v>
      </c>
      <c r="BO273">
        <v>80.58</v>
      </c>
      <c r="BP273">
        <v>20</v>
      </c>
      <c r="BQ273">
        <v>66.67</v>
      </c>
      <c r="BR273" t="s">
        <v>549</v>
      </c>
    </row>
    <row r="274" spans="1:70">
      <c r="A274" t="s">
        <v>1530</v>
      </c>
      <c r="B274" t="s">
        <v>258</v>
      </c>
      <c r="C274" t="s">
        <v>725</v>
      </c>
      <c r="D274" t="s">
        <v>1531</v>
      </c>
      <c r="E274" t="s">
        <v>260</v>
      </c>
      <c r="F274">
        <v>1</v>
      </c>
      <c r="H274" t="s">
        <v>1532</v>
      </c>
      <c r="R274" t="s">
        <v>1533</v>
      </c>
      <c r="S274">
        <v>1</v>
      </c>
      <c r="T274" t="s">
        <v>616</v>
      </c>
      <c r="U274" t="s">
        <v>547</v>
      </c>
      <c r="V274">
        <v>1762.5</v>
      </c>
      <c r="W274">
        <v>1762.5</v>
      </c>
      <c r="Z274" t="s">
        <v>890</v>
      </c>
      <c r="AA274" t="s">
        <v>549</v>
      </c>
      <c r="AB274" t="s">
        <v>748</v>
      </c>
      <c r="AC274" t="s">
        <v>550</v>
      </c>
      <c r="AD274" t="s">
        <v>551</v>
      </c>
      <c r="BR274" t="s">
        <v>549</v>
      </c>
    </row>
    <row r="275" spans="1:70">
      <c r="A275" t="s">
        <v>1530</v>
      </c>
      <c r="B275" t="s">
        <v>258</v>
      </c>
      <c r="C275" t="s">
        <v>725</v>
      </c>
      <c r="D275" t="s">
        <v>1531</v>
      </c>
      <c r="E275" t="s">
        <v>260</v>
      </c>
      <c r="F275">
        <v>1</v>
      </c>
      <c r="H275" t="s">
        <v>1532</v>
      </c>
      <c r="R275" t="s">
        <v>1533</v>
      </c>
      <c r="S275">
        <v>1</v>
      </c>
      <c r="T275" t="s">
        <v>1287</v>
      </c>
      <c r="U275" t="s">
        <v>547</v>
      </c>
      <c r="V275">
        <v>1515</v>
      </c>
      <c r="W275">
        <v>1515</v>
      </c>
      <c r="Z275" t="s">
        <v>1288</v>
      </c>
      <c r="AA275" t="s">
        <v>549</v>
      </c>
      <c r="AB275" t="s">
        <v>748</v>
      </c>
      <c r="AC275" t="s">
        <v>550</v>
      </c>
      <c r="AD275" t="s">
        <v>551</v>
      </c>
      <c r="BR275" t="s">
        <v>549</v>
      </c>
    </row>
    <row r="276" spans="1:70">
      <c r="A276" t="s">
        <v>1530</v>
      </c>
      <c r="B276" t="s">
        <v>258</v>
      </c>
      <c r="C276" t="s">
        <v>725</v>
      </c>
      <c r="D276" t="s">
        <v>1531</v>
      </c>
      <c r="E276" t="s">
        <v>260</v>
      </c>
      <c r="F276">
        <v>1</v>
      </c>
      <c r="H276" t="s">
        <v>1532</v>
      </c>
      <c r="R276" t="s">
        <v>1533</v>
      </c>
      <c r="S276">
        <v>1</v>
      </c>
      <c r="T276" t="s">
        <v>1033</v>
      </c>
      <c r="U276" t="s">
        <v>547</v>
      </c>
      <c r="V276">
        <v>2398.75</v>
      </c>
      <c r="W276">
        <v>2398.75</v>
      </c>
      <c r="Z276" t="s">
        <v>1034</v>
      </c>
      <c r="AA276" t="s">
        <v>549</v>
      </c>
      <c r="AB276" t="s">
        <v>748</v>
      </c>
      <c r="AC276" t="s">
        <v>550</v>
      </c>
      <c r="AD276" t="s">
        <v>551</v>
      </c>
      <c r="BR276" t="s">
        <v>549</v>
      </c>
    </row>
    <row r="277" spans="1:70">
      <c r="A277" t="s">
        <v>1540</v>
      </c>
      <c r="B277" t="s">
        <v>120</v>
      </c>
      <c r="C277" t="s">
        <v>1541</v>
      </c>
      <c r="D277" t="s">
        <v>1542</v>
      </c>
      <c r="E277" t="s">
        <v>122</v>
      </c>
      <c r="F277">
        <v>3</v>
      </c>
      <c r="G277" t="s">
        <v>539</v>
      </c>
      <c r="H277" t="s">
        <v>1543</v>
      </c>
      <c r="I277" t="s">
        <v>748</v>
      </c>
      <c r="J277" t="s">
        <v>542</v>
      </c>
      <c r="K277">
        <v>10605.01</v>
      </c>
      <c r="L277">
        <v>200</v>
      </c>
      <c r="M277" t="s">
        <v>543</v>
      </c>
      <c r="N277" t="s">
        <v>544</v>
      </c>
      <c r="O277">
        <v>133.08000000000001</v>
      </c>
      <c r="P277">
        <v>10274.76</v>
      </c>
      <c r="Q277">
        <v>530.25</v>
      </c>
      <c r="R277" t="s">
        <v>1544</v>
      </c>
      <c r="S277">
        <v>2</v>
      </c>
      <c r="T277" t="s">
        <v>704</v>
      </c>
      <c r="U277" t="s">
        <v>547</v>
      </c>
      <c r="V277">
        <v>2338.79</v>
      </c>
      <c r="W277">
        <v>2461.88</v>
      </c>
      <c r="Z277" t="s">
        <v>705</v>
      </c>
      <c r="AA277" t="s">
        <v>549</v>
      </c>
      <c r="AB277" t="s">
        <v>748</v>
      </c>
      <c r="AC277" t="s">
        <v>550</v>
      </c>
      <c r="AD277" t="s">
        <v>551</v>
      </c>
      <c r="AE277" t="s">
        <v>1545</v>
      </c>
      <c r="AF277" t="s">
        <v>1546</v>
      </c>
      <c r="AI277" t="s">
        <v>601</v>
      </c>
      <c r="AJ277" t="s">
        <v>1547</v>
      </c>
      <c r="AK277" t="s">
        <v>556</v>
      </c>
      <c r="AM277" t="s">
        <v>1548</v>
      </c>
      <c r="AN277" t="s">
        <v>558</v>
      </c>
      <c r="AO277" t="s">
        <v>121</v>
      </c>
      <c r="AP277" t="s">
        <v>549</v>
      </c>
      <c r="AQ277" t="s">
        <v>549</v>
      </c>
      <c r="AR277" t="s">
        <v>1549</v>
      </c>
      <c r="AS277" t="s">
        <v>1545</v>
      </c>
      <c r="AT277" t="s">
        <v>1546</v>
      </c>
      <c r="AW277" t="s">
        <v>601</v>
      </c>
      <c r="AX277" t="s">
        <v>1547</v>
      </c>
      <c r="AY277" t="s">
        <v>556</v>
      </c>
      <c r="BA277" t="s">
        <v>1548</v>
      </c>
      <c r="BB277" t="s">
        <v>558</v>
      </c>
      <c r="BC277" t="s">
        <v>121</v>
      </c>
      <c r="BD277" t="s">
        <v>1549</v>
      </c>
      <c r="BH277" t="s">
        <v>560</v>
      </c>
      <c r="BI277" t="s">
        <v>561</v>
      </c>
      <c r="BK277" t="s">
        <v>1550</v>
      </c>
      <c r="BL277" t="s">
        <v>562</v>
      </c>
      <c r="BM277" t="s">
        <v>1551</v>
      </c>
      <c r="BN277">
        <v>1</v>
      </c>
      <c r="BO277">
        <v>99.75</v>
      </c>
      <c r="BP277">
        <v>20</v>
      </c>
      <c r="BQ277">
        <v>33.33</v>
      </c>
      <c r="BR277" t="s">
        <v>549</v>
      </c>
    </row>
    <row r="278" spans="1:70">
      <c r="A278" t="s">
        <v>1540</v>
      </c>
      <c r="B278" t="s">
        <v>120</v>
      </c>
      <c r="C278" t="s">
        <v>1541</v>
      </c>
      <c r="D278" t="s">
        <v>1542</v>
      </c>
      <c r="E278" t="s">
        <v>122</v>
      </c>
      <c r="F278">
        <v>3</v>
      </c>
      <c r="H278" t="s">
        <v>1543</v>
      </c>
      <c r="R278" t="s">
        <v>1544</v>
      </c>
      <c r="S278">
        <v>3</v>
      </c>
      <c r="T278" t="s">
        <v>616</v>
      </c>
      <c r="U278" t="s">
        <v>547</v>
      </c>
      <c r="V278">
        <v>1799.06</v>
      </c>
      <c r="W278">
        <v>1893.75</v>
      </c>
      <c r="Z278" t="s">
        <v>617</v>
      </c>
      <c r="AA278" t="s">
        <v>549</v>
      </c>
      <c r="AB278" t="s">
        <v>748</v>
      </c>
      <c r="AC278" t="s">
        <v>550</v>
      </c>
      <c r="AD278" t="s">
        <v>551</v>
      </c>
      <c r="BR278" t="s">
        <v>549</v>
      </c>
    </row>
    <row r="279" spans="1:70">
      <c r="A279" t="s">
        <v>1552</v>
      </c>
      <c r="B279" t="s">
        <v>207</v>
      </c>
      <c r="C279" t="s">
        <v>1076</v>
      </c>
      <c r="D279" t="s">
        <v>1077</v>
      </c>
      <c r="E279" t="s">
        <v>209</v>
      </c>
      <c r="F279">
        <v>1</v>
      </c>
      <c r="G279" t="s">
        <v>1140</v>
      </c>
      <c r="H279" t="s">
        <v>1553</v>
      </c>
      <c r="I279" t="s">
        <v>1142</v>
      </c>
      <c r="J279" t="s">
        <v>542</v>
      </c>
      <c r="K279">
        <v>2727</v>
      </c>
      <c r="L279">
        <v>400</v>
      </c>
      <c r="M279" t="s">
        <v>543</v>
      </c>
      <c r="N279" t="s">
        <v>544</v>
      </c>
      <c r="O279">
        <v>93.67</v>
      </c>
      <c r="P279">
        <v>3127</v>
      </c>
      <c r="R279" t="s">
        <v>1554</v>
      </c>
      <c r="S279">
        <v>1</v>
      </c>
      <c r="T279" t="s">
        <v>659</v>
      </c>
      <c r="U279" t="s">
        <v>547</v>
      </c>
      <c r="V279">
        <v>2727</v>
      </c>
      <c r="W279">
        <v>2727</v>
      </c>
      <c r="Z279" t="s">
        <v>660</v>
      </c>
      <c r="AA279" t="s">
        <v>549</v>
      </c>
      <c r="AB279" t="s">
        <v>1142</v>
      </c>
      <c r="AC279" t="s">
        <v>550</v>
      </c>
      <c r="AD279" t="s">
        <v>551</v>
      </c>
      <c r="AE279" t="s">
        <v>1080</v>
      </c>
      <c r="AF279" t="s">
        <v>1081</v>
      </c>
      <c r="AG279" t="s">
        <v>1082</v>
      </c>
      <c r="AI279" t="s">
        <v>577</v>
      </c>
      <c r="AJ279" t="s">
        <v>1083</v>
      </c>
      <c r="AK279" t="s">
        <v>556</v>
      </c>
      <c r="AM279" t="s">
        <v>579</v>
      </c>
      <c r="AN279" t="s">
        <v>558</v>
      </c>
      <c r="AO279" t="s">
        <v>208</v>
      </c>
      <c r="AP279" t="s">
        <v>549</v>
      </c>
      <c r="AQ279" t="s">
        <v>549</v>
      </c>
      <c r="AR279" t="s">
        <v>1084</v>
      </c>
      <c r="AS279" t="s">
        <v>1080</v>
      </c>
      <c r="AT279" t="s">
        <v>1081</v>
      </c>
      <c r="AU279" t="s">
        <v>1082</v>
      </c>
      <c r="AW279" t="s">
        <v>577</v>
      </c>
      <c r="AX279" t="s">
        <v>1083</v>
      </c>
      <c r="AY279" t="s">
        <v>556</v>
      </c>
      <c r="BA279" t="s">
        <v>579</v>
      </c>
      <c r="BB279" t="s">
        <v>558</v>
      </c>
      <c r="BC279" t="s">
        <v>208</v>
      </c>
      <c r="BD279" t="s">
        <v>1084</v>
      </c>
      <c r="BH279" t="s">
        <v>560</v>
      </c>
      <c r="BI279" t="s">
        <v>561</v>
      </c>
      <c r="BK279" t="s">
        <v>607</v>
      </c>
      <c r="BL279" t="s">
        <v>562</v>
      </c>
      <c r="BM279" t="s">
        <v>1555</v>
      </c>
      <c r="BN279">
        <v>1</v>
      </c>
      <c r="BO279">
        <v>27</v>
      </c>
      <c r="BP279">
        <v>20</v>
      </c>
      <c r="BQ279">
        <v>66.67</v>
      </c>
      <c r="BR279" t="s">
        <v>549</v>
      </c>
    </row>
    <row r="280" spans="1:70">
      <c r="A280" t="s">
        <v>1556</v>
      </c>
      <c r="B280" t="s">
        <v>125</v>
      </c>
      <c r="C280" t="s">
        <v>1557</v>
      </c>
      <c r="D280" t="s">
        <v>1558</v>
      </c>
      <c r="E280" t="s">
        <v>50</v>
      </c>
      <c r="F280">
        <v>1</v>
      </c>
      <c r="G280" t="s">
        <v>539</v>
      </c>
      <c r="H280" t="s">
        <v>1559</v>
      </c>
      <c r="I280" t="s">
        <v>748</v>
      </c>
      <c r="J280" t="s">
        <v>542</v>
      </c>
      <c r="K280">
        <v>4853.78</v>
      </c>
      <c r="L280">
        <v>400</v>
      </c>
      <c r="M280" t="s">
        <v>543</v>
      </c>
      <c r="N280" t="s">
        <v>544</v>
      </c>
      <c r="O280">
        <v>114.73</v>
      </c>
      <c r="P280">
        <v>5253.78</v>
      </c>
      <c r="R280" t="s">
        <v>1560</v>
      </c>
      <c r="S280">
        <v>1</v>
      </c>
      <c r="T280" t="s">
        <v>588</v>
      </c>
      <c r="U280" t="s">
        <v>547</v>
      </c>
      <c r="V280">
        <v>3414.53</v>
      </c>
      <c r="W280">
        <v>4014.75</v>
      </c>
      <c r="X280">
        <v>3414.53</v>
      </c>
      <c r="Z280" t="s">
        <v>589</v>
      </c>
      <c r="AA280" t="s">
        <v>549</v>
      </c>
      <c r="AB280" t="s">
        <v>748</v>
      </c>
      <c r="AC280" t="s">
        <v>550</v>
      </c>
      <c r="AD280" t="s">
        <v>551</v>
      </c>
      <c r="AE280" t="s">
        <v>125</v>
      </c>
      <c r="AF280" t="s">
        <v>1561</v>
      </c>
      <c r="AI280" t="s">
        <v>803</v>
      </c>
      <c r="AJ280" t="s">
        <v>1562</v>
      </c>
      <c r="AK280" t="s">
        <v>556</v>
      </c>
      <c r="AM280" t="s">
        <v>1563</v>
      </c>
      <c r="AN280" t="s">
        <v>558</v>
      </c>
      <c r="AO280" t="s">
        <v>126</v>
      </c>
      <c r="AP280" t="s">
        <v>549</v>
      </c>
      <c r="AQ280" t="s">
        <v>549</v>
      </c>
      <c r="AR280" t="s">
        <v>1564</v>
      </c>
      <c r="AS280" t="s">
        <v>125</v>
      </c>
      <c r="AT280" t="s">
        <v>1561</v>
      </c>
      <c r="AW280" t="s">
        <v>803</v>
      </c>
      <c r="AX280" t="s">
        <v>1562</v>
      </c>
      <c r="AY280" t="s">
        <v>556</v>
      </c>
      <c r="BA280" t="s">
        <v>1563</v>
      </c>
      <c r="BB280" t="s">
        <v>558</v>
      </c>
      <c r="BC280" t="s">
        <v>126</v>
      </c>
      <c r="BD280" t="s">
        <v>1564</v>
      </c>
      <c r="BH280" t="s">
        <v>560</v>
      </c>
      <c r="BI280" t="s">
        <v>561</v>
      </c>
      <c r="BK280" t="s">
        <v>607</v>
      </c>
      <c r="BL280" t="s">
        <v>562</v>
      </c>
      <c r="BM280" t="s">
        <v>1565</v>
      </c>
      <c r="BN280">
        <v>1</v>
      </c>
      <c r="BO280">
        <v>48.06</v>
      </c>
      <c r="BP280">
        <v>20</v>
      </c>
      <c r="BQ280">
        <v>66.67</v>
      </c>
      <c r="BR280" t="s">
        <v>549</v>
      </c>
    </row>
    <row r="281" spans="1:70">
      <c r="A281" t="s">
        <v>1556</v>
      </c>
      <c r="B281" t="s">
        <v>125</v>
      </c>
      <c r="C281" t="s">
        <v>1557</v>
      </c>
      <c r="D281" t="s">
        <v>1558</v>
      </c>
      <c r="E281" t="s">
        <v>50</v>
      </c>
      <c r="F281">
        <v>1</v>
      </c>
      <c r="H281" t="s">
        <v>1559</v>
      </c>
      <c r="R281" t="s">
        <v>1560</v>
      </c>
      <c r="S281">
        <v>1</v>
      </c>
      <c r="T281" t="s">
        <v>1372</v>
      </c>
      <c r="U281" t="s">
        <v>547</v>
      </c>
      <c r="V281">
        <v>1439.25</v>
      </c>
      <c r="W281">
        <v>1439.25</v>
      </c>
      <c r="Z281" t="s">
        <v>1373</v>
      </c>
      <c r="AA281" t="s">
        <v>549</v>
      </c>
      <c r="AB281" t="s">
        <v>748</v>
      </c>
      <c r="AC281" t="s">
        <v>550</v>
      </c>
      <c r="AD281" t="s">
        <v>551</v>
      </c>
      <c r="BR281" t="s">
        <v>549</v>
      </c>
    </row>
    <row r="282" spans="1:70">
      <c r="A282" t="s">
        <v>1566</v>
      </c>
      <c r="B282" t="s">
        <v>268</v>
      </c>
      <c r="C282" t="s">
        <v>1567</v>
      </c>
      <c r="D282" t="s">
        <v>1568</v>
      </c>
      <c r="E282" t="s">
        <v>270</v>
      </c>
      <c r="F282">
        <v>2</v>
      </c>
      <c r="G282" t="s">
        <v>539</v>
      </c>
      <c r="H282" t="s">
        <v>1569</v>
      </c>
      <c r="I282" t="s">
        <v>748</v>
      </c>
      <c r="J282" t="s">
        <v>542</v>
      </c>
      <c r="K282">
        <v>38064.379999999997</v>
      </c>
      <c r="L282">
        <v>0</v>
      </c>
      <c r="M282" t="s">
        <v>570</v>
      </c>
      <c r="N282" t="s">
        <v>544</v>
      </c>
      <c r="O282">
        <v>339.19</v>
      </c>
      <c r="P282">
        <v>34257.94</v>
      </c>
      <c r="Q282">
        <v>3806.44</v>
      </c>
      <c r="R282" t="s">
        <v>1570</v>
      </c>
      <c r="S282">
        <v>15</v>
      </c>
      <c r="T282" t="s">
        <v>1287</v>
      </c>
      <c r="U282" t="s">
        <v>547</v>
      </c>
      <c r="V282">
        <v>1363.5</v>
      </c>
      <c r="W282">
        <v>1515</v>
      </c>
      <c r="Z282" t="s">
        <v>1288</v>
      </c>
      <c r="AA282" t="s">
        <v>549</v>
      </c>
      <c r="AB282" t="s">
        <v>748</v>
      </c>
      <c r="AC282" t="s">
        <v>550</v>
      </c>
      <c r="AD282" t="s">
        <v>551</v>
      </c>
      <c r="AE282" t="s">
        <v>1571</v>
      </c>
      <c r="AF282" t="s">
        <v>1572</v>
      </c>
      <c r="AG282" t="s">
        <v>1573</v>
      </c>
      <c r="AH282" t="s">
        <v>1573</v>
      </c>
      <c r="AI282" t="s">
        <v>1574</v>
      </c>
      <c r="AJ282" t="s">
        <v>1575</v>
      </c>
      <c r="AK282" t="s">
        <v>556</v>
      </c>
      <c r="AM282" t="s">
        <v>690</v>
      </c>
      <c r="AN282" t="s">
        <v>558</v>
      </c>
      <c r="AO282" t="s">
        <v>269</v>
      </c>
      <c r="AP282" t="s">
        <v>1576</v>
      </c>
      <c r="AQ282" t="s">
        <v>1577</v>
      </c>
      <c r="AR282" t="s">
        <v>1578</v>
      </c>
      <c r="AS282" t="s">
        <v>1571</v>
      </c>
      <c r="AT282" t="s">
        <v>1572</v>
      </c>
      <c r="AU282" t="s">
        <v>1573</v>
      </c>
      <c r="AV282" t="s">
        <v>1573</v>
      </c>
      <c r="AW282" t="s">
        <v>1574</v>
      </c>
      <c r="AX282" t="s">
        <v>1575</v>
      </c>
      <c r="AY282" t="s">
        <v>556</v>
      </c>
      <c r="BA282" t="s">
        <v>690</v>
      </c>
      <c r="BB282" t="s">
        <v>558</v>
      </c>
      <c r="BC282" t="s">
        <v>269</v>
      </c>
      <c r="BD282" t="s">
        <v>1578</v>
      </c>
      <c r="BH282" t="s">
        <v>560</v>
      </c>
      <c r="BI282" t="s">
        <v>561</v>
      </c>
      <c r="BK282" t="s">
        <v>607</v>
      </c>
      <c r="BL282" t="s">
        <v>562</v>
      </c>
      <c r="BM282" t="s">
        <v>1579</v>
      </c>
      <c r="BN282">
        <v>1</v>
      </c>
      <c r="BO282">
        <v>339.19</v>
      </c>
      <c r="BR282" t="s">
        <v>549</v>
      </c>
    </row>
    <row r="283" spans="1:70">
      <c r="A283" t="s">
        <v>1566</v>
      </c>
      <c r="B283" t="s">
        <v>268</v>
      </c>
      <c r="C283" t="s">
        <v>1567</v>
      </c>
      <c r="D283" t="s">
        <v>1568</v>
      </c>
      <c r="E283" t="s">
        <v>270</v>
      </c>
      <c r="F283">
        <v>2</v>
      </c>
      <c r="H283" t="s">
        <v>1569</v>
      </c>
      <c r="R283" t="s">
        <v>1570</v>
      </c>
      <c r="S283">
        <v>1</v>
      </c>
      <c r="T283" t="s">
        <v>1580</v>
      </c>
      <c r="U283" t="s">
        <v>547</v>
      </c>
      <c r="V283">
        <v>13805.44</v>
      </c>
      <c r="W283">
        <v>15339.38</v>
      </c>
      <c r="Z283" t="s">
        <v>1581</v>
      </c>
      <c r="AA283" t="s">
        <v>549</v>
      </c>
      <c r="AB283" t="s">
        <v>748</v>
      </c>
      <c r="AC283" t="s">
        <v>550</v>
      </c>
      <c r="AD283" t="s">
        <v>551</v>
      </c>
      <c r="BR283" t="s">
        <v>549</v>
      </c>
    </row>
    <row r="284" spans="1:70">
      <c r="A284" t="s">
        <v>1582</v>
      </c>
      <c r="B284" t="s">
        <v>320</v>
      </c>
      <c r="C284" t="s">
        <v>1583</v>
      </c>
      <c r="D284" t="s">
        <v>1584</v>
      </c>
      <c r="E284" t="s">
        <v>322</v>
      </c>
      <c r="F284">
        <v>1</v>
      </c>
      <c r="G284" t="s">
        <v>1140</v>
      </c>
      <c r="H284" t="s">
        <v>1585</v>
      </c>
      <c r="I284" t="s">
        <v>1142</v>
      </c>
      <c r="J284" t="s">
        <v>542</v>
      </c>
      <c r="K284">
        <v>3976.88</v>
      </c>
      <c r="L284">
        <v>400</v>
      </c>
      <c r="M284" t="s">
        <v>543</v>
      </c>
      <c r="N284" t="s">
        <v>544</v>
      </c>
      <c r="O284">
        <v>106.05</v>
      </c>
      <c r="P284">
        <v>4376.88</v>
      </c>
      <c r="R284" t="s">
        <v>1586</v>
      </c>
      <c r="S284">
        <v>1</v>
      </c>
      <c r="T284" t="s">
        <v>1033</v>
      </c>
      <c r="U284" t="s">
        <v>547</v>
      </c>
      <c r="V284">
        <v>2398.75</v>
      </c>
      <c r="W284">
        <v>2398.75</v>
      </c>
      <c r="Z284" t="s">
        <v>1034</v>
      </c>
      <c r="AA284" t="s">
        <v>549</v>
      </c>
      <c r="AB284" t="s">
        <v>1142</v>
      </c>
      <c r="AC284" t="s">
        <v>550</v>
      </c>
      <c r="AD284" t="s">
        <v>551</v>
      </c>
      <c r="AE284" t="s">
        <v>320</v>
      </c>
      <c r="AF284" t="s">
        <v>1587</v>
      </c>
      <c r="AG284" t="s">
        <v>1588</v>
      </c>
      <c r="AI284" t="s">
        <v>577</v>
      </c>
      <c r="AJ284" t="s">
        <v>1589</v>
      </c>
      <c r="AK284" t="s">
        <v>556</v>
      </c>
      <c r="AM284" t="s">
        <v>1590</v>
      </c>
      <c r="AN284" t="s">
        <v>558</v>
      </c>
      <c r="AO284" t="s">
        <v>321</v>
      </c>
      <c r="AP284" t="s">
        <v>549</v>
      </c>
      <c r="AQ284" t="s">
        <v>549</v>
      </c>
      <c r="AR284" t="s">
        <v>1591</v>
      </c>
      <c r="AS284" t="s">
        <v>320</v>
      </c>
      <c r="AT284" t="s">
        <v>1587</v>
      </c>
      <c r="AU284" t="s">
        <v>1588</v>
      </c>
      <c r="AW284" t="s">
        <v>577</v>
      </c>
      <c r="AX284" t="s">
        <v>1589</v>
      </c>
      <c r="AY284" t="s">
        <v>556</v>
      </c>
      <c r="BA284" t="s">
        <v>1590</v>
      </c>
      <c r="BB284" t="s">
        <v>558</v>
      </c>
      <c r="BC284" t="s">
        <v>321</v>
      </c>
      <c r="BD284" t="s">
        <v>1591</v>
      </c>
      <c r="BH284" t="s">
        <v>560</v>
      </c>
      <c r="BI284" t="s">
        <v>561</v>
      </c>
      <c r="BK284" t="s">
        <v>607</v>
      </c>
      <c r="BL284" t="s">
        <v>562</v>
      </c>
      <c r="BM284" t="s">
        <v>1592</v>
      </c>
      <c r="BN284">
        <v>1</v>
      </c>
      <c r="BO284">
        <v>39.380000000000003</v>
      </c>
      <c r="BP284">
        <v>20</v>
      </c>
      <c r="BQ284">
        <v>66.67</v>
      </c>
      <c r="BR284" t="s">
        <v>549</v>
      </c>
    </row>
    <row r="285" spans="1:70">
      <c r="A285" t="s">
        <v>1582</v>
      </c>
      <c r="B285" t="s">
        <v>320</v>
      </c>
      <c r="C285" t="s">
        <v>1583</v>
      </c>
      <c r="D285" t="s">
        <v>1584</v>
      </c>
      <c r="E285" t="s">
        <v>322</v>
      </c>
      <c r="F285">
        <v>1</v>
      </c>
      <c r="H285" t="s">
        <v>1585</v>
      </c>
      <c r="R285" t="s">
        <v>1586</v>
      </c>
      <c r="S285">
        <v>1</v>
      </c>
      <c r="T285" t="s">
        <v>921</v>
      </c>
      <c r="U285" t="s">
        <v>547</v>
      </c>
      <c r="V285">
        <v>1578.13</v>
      </c>
      <c r="W285">
        <v>1578.13</v>
      </c>
      <c r="Z285" t="s">
        <v>922</v>
      </c>
      <c r="AA285" t="s">
        <v>549</v>
      </c>
      <c r="AB285" t="s">
        <v>1142</v>
      </c>
      <c r="AC285" t="s">
        <v>550</v>
      </c>
      <c r="AD285" t="s">
        <v>551</v>
      </c>
      <c r="BR285" t="s">
        <v>549</v>
      </c>
    </row>
    <row r="286" spans="1:70">
      <c r="A286" t="s">
        <v>1593</v>
      </c>
      <c r="B286" t="s">
        <v>255</v>
      </c>
      <c r="C286" t="s">
        <v>725</v>
      </c>
      <c r="D286" t="s">
        <v>1594</v>
      </c>
      <c r="E286" t="s">
        <v>257</v>
      </c>
      <c r="F286">
        <v>1</v>
      </c>
      <c r="G286" t="s">
        <v>1140</v>
      </c>
      <c r="H286" t="s">
        <v>1595</v>
      </c>
      <c r="I286" t="s">
        <v>1142</v>
      </c>
      <c r="J286" t="s">
        <v>542</v>
      </c>
      <c r="K286">
        <v>1578.13</v>
      </c>
      <c r="L286">
        <v>400</v>
      </c>
      <c r="M286" t="s">
        <v>543</v>
      </c>
      <c r="N286" t="s">
        <v>544</v>
      </c>
      <c r="O286">
        <v>82.3</v>
      </c>
      <c r="P286">
        <v>1978.13</v>
      </c>
      <c r="R286" t="s">
        <v>1596</v>
      </c>
      <c r="S286">
        <v>1</v>
      </c>
      <c r="T286" t="s">
        <v>921</v>
      </c>
      <c r="U286" t="s">
        <v>547</v>
      </c>
      <c r="V286">
        <v>1578.13</v>
      </c>
      <c r="W286">
        <v>1578.13</v>
      </c>
      <c r="Z286" t="s">
        <v>922</v>
      </c>
      <c r="AA286" t="s">
        <v>549</v>
      </c>
      <c r="AB286" t="s">
        <v>1142</v>
      </c>
      <c r="AC286" t="s">
        <v>550</v>
      </c>
      <c r="AD286" t="s">
        <v>551</v>
      </c>
      <c r="AE286" t="s">
        <v>255</v>
      </c>
      <c r="AF286" t="s">
        <v>1597</v>
      </c>
      <c r="AI286" t="s">
        <v>554</v>
      </c>
      <c r="AJ286" t="s">
        <v>1598</v>
      </c>
      <c r="AK286" t="s">
        <v>556</v>
      </c>
      <c r="AM286" t="s">
        <v>1599</v>
      </c>
      <c r="AN286" t="s">
        <v>558</v>
      </c>
      <c r="AO286" t="s">
        <v>256</v>
      </c>
      <c r="AP286" t="s">
        <v>549</v>
      </c>
      <c r="AQ286" t="s">
        <v>549</v>
      </c>
      <c r="AR286" t="s">
        <v>1600</v>
      </c>
      <c r="AS286" t="s">
        <v>255</v>
      </c>
      <c r="AT286" t="s">
        <v>1597</v>
      </c>
      <c r="AW286" t="s">
        <v>554</v>
      </c>
      <c r="AX286" t="s">
        <v>1598</v>
      </c>
      <c r="AY286" t="s">
        <v>556</v>
      </c>
      <c r="BA286" t="s">
        <v>1599</v>
      </c>
      <c r="BB286" t="s">
        <v>558</v>
      </c>
      <c r="BC286" t="s">
        <v>256</v>
      </c>
      <c r="BD286" t="s">
        <v>1600</v>
      </c>
      <c r="BH286" t="s">
        <v>560</v>
      </c>
      <c r="BI286" t="s">
        <v>561</v>
      </c>
      <c r="BK286" t="s">
        <v>607</v>
      </c>
      <c r="BL286" t="s">
        <v>562</v>
      </c>
      <c r="BM286" t="s">
        <v>1601</v>
      </c>
      <c r="BN286">
        <v>1</v>
      </c>
      <c r="BO286">
        <v>15.63</v>
      </c>
      <c r="BP286">
        <v>20</v>
      </c>
      <c r="BQ286">
        <v>66.67</v>
      </c>
      <c r="BR286" t="s">
        <v>549</v>
      </c>
    </row>
    <row r="287" spans="1:70">
      <c r="A287" t="s">
        <v>1602</v>
      </c>
      <c r="B287" t="s">
        <v>394</v>
      </c>
      <c r="C287" t="s">
        <v>1603</v>
      </c>
      <c r="D287" t="s">
        <v>1604</v>
      </c>
      <c r="E287" t="s">
        <v>393</v>
      </c>
      <c r="F287">
        <v>2</v>
      </c>
      <c r="G287" t="s">
        <v>1140</v>
      </c>
      <c r="H287" t="s">
        <v>1605</v>
      </c>
      <c r="I287" t="s">
        <v>1142</v>
      </c>
      <c r="J287" t="s">
        <v>542</v>
      </c>
      <c r="K287">
        <v>631.25</v>
      </c>
      <c r="L287">
        <v>0</v>
      </c>
      <c r="M287" t="s">
        <v>543</v>
      </c>
      <c r="N287" t="s">
        <v>544</v>
      </c>
      <c r="O287">
        <v>0.31</v>
      </c>
      <c r="P287">
        <v>31.56</v>
      </c>
      <c r="R287" t="s">
        <v>1606</v>
      </c>
      <c r="S287">
        <v>1</v>
      </c>
      <c r="T287" t="s">
        <v>946</v>
      </c>
      <c r="U287" t="s">
        <v>547</v>
      </c>
      <c r="V287">
        <v>31.56</v>
      </c>
      <c r="W287">
        <v>631.25</v>
      </c>
      <c r="Z287" t="s">
        <v>947</v>
      </c>
      <c r="AA287" t="s">
        <v>549</v>
      </c>
      <c r="AB287" t="s">
        <v>1142</v>
      </c>
      <c r="AC287" t="s">
        <v>550</v>
      </c>
      <c r="AD287" t="s">
        <v>551</v>
      </c>
      <c r="AE287" t="s">
        <v>394</v>
      </c>
      <c r="AF287" t="s">
        <v>1607</v>
      </c>
      <c r="AG287" t="s">
        <v>1608</v>
      </c>
      <c r="AI287" t="s">
        <v>966</v>
      </c>
      <c r="AJ287" t="s">
        <v>1524</v>
      </c>
      <c r="AK287" t="s">
        <v>556</v>
      </c>
      <c r="AM287" t="s">
        <v>1609</v>
      </c>
      <c r="AN287" t="s">
        <v>558</v>
      </c>
      <c r="AO287" t="s">
        <v>1526</v>
      </c>
      <c r="AP287" t="s">
        <v>549</v>
      </c>
      <c r="AQ287" t="s">
        <v>549</v>
      </c>
      <c r="AR287" t="s">
        <v>1527</v>
      </c>
      <c r="AS287" t="s">
        <v>394</v>
      </c>
      <c r="AT287" t="s">
        <v>1607</v>
      </c>
      <c r="AU287" t="s">
        <v>1608</v>
      </c>
      <c r="AW287" t="s">
        <v>966</v>
      </c>
      <c r="AX287" t="s">
        <v>1524</v>
      </c>
      <c r="AY287" t="s">
        <v>556</v>
      </c>
      <c r="BA287" t="s">
        <v>1609</v>
      </c>
      <c r="BB287" t="s">
        <v>558</v>
      </c>
      <c r="BC287" t="s">
        <v>1526</v>
      </c>
      <c r="BD287" t="s">
        <v>1527</v>
      </c>
      <c r="BH287" t="s">
        <v>560</v>
      </c>
      <c r="BI287" t="s">
        <v>561</v>
      </c>
      <c r="BK287" t="s">
        <v>607</v>
      </c>
      <c r="BL287" t="s">
        <v>562</v>
      </c>
      <c r="BM287" t="s">
        <v>1610</v>
      </c>
      <c r="BN287">
        <v>1</v>
      </c>
      <c r="BO287">
        <v>0.31</v>
      </c>
      <c r="BR287" t="s">
        <v>1529</v>
      </c>
    </row>
    <row r="288" spans="1:70">
      <c r="A288" t="s">
        <v>1611</v>
      </c>
      <c r="B288" t="s">
        <v>394</v>
      </c>
      <c r="C288" t="s">
        <v>1603</v>
      </c>
      <c r="D288" t="s">
        <v>1604</v>
      </c>
      <c r="E288" t="s">
        <v>393</v>
      </c>
      <c r="F288">
        <v>1</v>
      </c>
      <c r="G288" t="s">
        <v>1140</v>
      </c>
      <c r="H288" t="s">
        <v>1612</v>
      </c>
      <c r="I288" t="s">
        <v>1142</v>
      </c>
      <c r="J288" t="s">
        <v>542</v>
      </c>
      <c r="K288">
        <v>631.25</v>
      </c>
      <c r="L288">
        <v>0</v>
      </c>
      <c r="M288" t="s">
        <v>543</v>
      </c>
      <c r="N288" t="s">
        <v>544</v>
      </c>
      <c r="O288">
        <v>0.31</v>
      </c>
      <c r="P288">
        <v>31.56</v>
      </c>
      <c r="R288" t="s">
        <v>1613</v>
      </c>
      <c r="S288">
        <v>1</v>
      </c>
      <c r="T288" t="s">
        <v>946</v>
      </c>
      <c r="U288" t="s">
        <v>547</v>
      </c>
      <c r="V288">
        <v>31.56</v>
      </c>
      <c r="W288">
        <v>631.25</v>
      </c>
      <c r="Z288" t="s">
        <v>947</v>
      </c>
      <c r="AA288" t="s">
        <v>549</v>
      </c>
      <c r="AB288" t="s">
        <v>1142</v>
      </c>
      <c r="AC288" t="s">
        <v>550</v>
      </c>
      <c r="AD288" t="s">
        <v>551</v>
      </c>
      <c r="AE288" t="s">
        <v>394</v>
      </c>
      <c r="AF288" t="s">
        <v>1607</v>
      </c>
      <c r="AG288" t="s">
        <v>1608</v>
      </c>
      <c r="AI288" t="s">
        <v>966</v>
      </c>
      <c r="AJ288" t="s">
        <v>1524</v>
      </c>
      <c r="AK288" t="s">
        <v>556</v>
      </c>
      <c r="AM288" t="s">
        <v>1614</v>
      </c>
      <c r="AN288" t="s">
        <v>558</v>
      </c>
      <c r="AO288" t="s">
        <v>1526</v>
      </c>
      <c r="AP288" t="s">
        <v>549</v>
      </c>
      <c r="AQ288" t="s">
        <v>549</v>
      </c>
      <c r="AR288" t="s">
        <v>1527</v>
      </c>
      <c r="AS288" t="s">
        <v>394</v>
      </c>
      <c r="AT288" t="s">
        <v>1607</v>
      </c>
      <c r="AU288" t="s">
        <v>1608</v>
      </c>
      <c r="AW288" t="s">
        <v>966</v>
      </c>
      <c r="AX288" t="s">
        <v>1524</v>
      </c>
      <c r="AY288" t="s">
        <v>556</v>
      </c>
      <c r="BA288" t="s">
        <v>1614</v>
      </c>
      <c r="BB288" t="s">
        <v>558</v>
      </c>
      <c r="BC288" t="s">
        <v>1526</v>
      </c>
      <c r="BD288" t="s">
        <v>1527</v>
      </c>
      <c r="BH288" t="s">
        <v>560</v>
      </c>
      <c r="BI288" t="s">
        <v>561</v>
      </c>
      <c r="BK288" t="s">
        <v>607</v>
      </c>
      <c r="BL288" t="s">
        <v>562</v>
      </c>
      <c r="BM288" t="s">
        <v>1615</v>
      </c>
      <c r="BN288">
        <v>1</v>
      </c>
      <c r="BO288">
        <v>0.31</v>
      </c>
      <c r="BR288" t="s">
        <v>1529</v>
      </c>
    </row>
    <row r="289" spans="1:70">
      <c r="A289" t="s">
        <v>1616</v>
      </c>
      <c r="B289" t="s">
        <v>394</v>
      </c>
      <c r="C289" t="s">
        <v>1603</v>
      </c>
      <c r="D289" t="s">
        <v>1604</v>
      </c>
      <c r="E289" t="s">
        <v>395</v>
      </c>
      <c r="F289">
        <v>1</v>
      </c>
      <c r="G289" t="s">
        <v>1140</v>
      </c>
      <c r="H289" t="s">
        <v>1617</v>
      </c>
      <c r="I289" t="s">
        <v>1142</v>
      </c>
      <c r="J289" t="s">
        <v>542</v>
      </c>
      <c r="K289">
        <v>2461.88</v>
      </c>
      <c r="L289">
        <v>0</v>
      </c>
      <c r="M289" t="s">
        <v>543</v>
      </c>
      <c r="N289" t="s">
        <v>544</v>
      </c>
      <c r="O289">
        <v>1.22</v>
      </c>
      <c r="P289">
        <v>123.09</v>
      </c>
      <c r="R289" t="s">
        <v>1618</v>
      </c>
      <c r="S289">
        <v>1</v>
      </c>
      <c r="T289" t="s">
        <v>564</v>
      </c>
      <c r="U289" t="s">
        <v>547</v>
      </c>
      <c r="V289">
        <v>123.09</v>
      </c>
      <c r="W289">
        <v>2461.88</v>
      </c>
      <c r="Z289" t="s">
        <v>565</v>
      </c>
      <c r="AA289" t="s">
        <v>549</v>
      </c>
      <c r="AB289" t="s">
        <v>1142</v>
      </c>
      <c r="AC289" t="s">
        <v>550</v>
      </c>
      <c r="AD289" t="s">
        <v>551</v>
      </c>
      <c r="AE289" t="s">
        <v>394</v>
      </c>
      <c r="AF289" t="s">
        <v>1607</v>
      </c>
      <c r="AG289" t="s">
        <v>1608</v>
      </c>
      <c r="AI289" t="s">
        <v>966</v>
      </c>
      <c r="AJ289" t="s">
        <v>1524</v>
      </c>
      <c r="AK289" t="s">
        <v>556</v>
      </c>
      <c r="AM289" t="s">
        <v>1609</v>
      </c>
      <c r="AN289" t="s">
        <v>558</v>
      </c>
      <c r="AO289" t="s">
        <v>1526</v>
      </c>
      <c r="AP289" t="s">
        <v>549</v>
      </c>
      <c r="AQ289" t="s">
        <v>549</v>
      </c>
      <c r="AR289" t="s">
        <v>1527</v>
      </c>
      <c r="AS289" t="s">
        <v>394</v>
      </c>
      <c r="AT289" t="s">
        <v>1607</v>
      </c>
      <c r="AU289" t="s">
        <v>1608</v>
      </c>
      <c r="AW289" t="s">
        <v>966</v>
      </c>
      <c r="AX289" t="s">
        <v>1524</v>
      </c>
      <c r="AY289" t="s">
        <v>556</v>
      </c>
      <c r="BA289" t="s">
        <v>1609</v>
      </c>
      <c r="BB289" t="s">
        <v>558</v>
      </c>
      <c r="BC289" t="s">
        <v>1526</v>
      </c>
      <c r="BD289" t="s">
        <v>1527</v>
      </c>
      <c r="BH289" t="s">
        <v>560</v>
      </c>
      <c r="BI289" t="s">
        <v>561</v>
      </c>
      <c r="BK289" t="s">
        <v>607</v>
      </c>
      <c r="BL289" t="s">
        <v>562</v>
      </c>
      <c r="BM289" t="s">
        <v>1619</v>
      </c>
      <c r="BN289">
        <v>1</v>
      </c>
      <c r="BO289">
        <v>1.22</v>
      </c>
      <c r="BR289" t="s">
        <v>1529</v>
      </c>
    </row>
    <row r="290" spans="1:70">
      <c r="A290" t="s">
        <v>1620</v>
      </c>
      <c r="B290" t="s">
        <v>48</v>
      </c>
      <c r="C290" t="s">
        <v>745</v>
      </c>
      <c r="D290" t="s">
        <v>746</v>
      </c>
      <c r="E290" t="s">
        <v>116</v>
      </c>
      <c r="F290">
        <v>3</v>
      </c>
      <c r="G290" t="s">
        <v>539</v>
      </c>
      <c r="H290" t="s">
        <v>1621</v>
      </c>
      <c r="I290" t="s">
        <v>748</v>
      </c>
      <c r="J290" t="s">
        <v>542</v>
      </c>
      <c r="K290">
        <v>22689.01</v>
      </c>
      <c r="L290">
        <v>0</v>
      </c>
      <c r="M290" t="s">
        <v>570</v>
      </c>
      <c r="N290" t="s">
        <v>544</v>
      </c>
      <c r="O290">
        <v>218.48</v>
      </c>
      <c r="P290">
        <v>22066.73</v>
      </c>
      <c r="Q290">
        <v>622.28</v>
      </c>
      <c r="R290" t="s">
        <v>1622</v>
      </c>
      <c r="S290">
        <v>2</v>
      </c>
      <c r="T290" t="s">
        <v>740</v>
      </c>
      <c r="U290" t="s">
        <v>547</v>
      </c>
      <c r="V290">
        <v>5911.57</v>
      </c>
      <c r="W290">
        <v>6222.71</v>
      </c>
      <c r="Z290" t="s">
        <v>741</v>
      </c>
      <c r="AA290" t="s">
        <v>549</v>
      </c>
      <c r="AB290" t="s">
        <v>748</v>
      </c>
      <c r="AC290" t="s">
        <v>550</v>
      </c>
      <c r="AD290" t="s">
        <v>551</v>
      </c>
      <c r="AE290" t="s">
        <v>750</v>
      </c>
      <c r="AF290" t="s">
        <v>751</v>
      </c>
      <c r="AG290" t="s">
        <v>752</v>
      </c>
      <c r="AI290" t="s">
        <v>601</v>
      </c>
      <c r="AJ290" t="s">
        <v>753</v>
      </c>
      <c r="AK290" t="s">
        <v>556</v>
      </c>
      <c r="AM290" t="s">
        <v>754</v>
      </c>
      <c r="AN290" t="s">
        <v>558</v>
      </c>
      <c r="AO290" t="s">
        <v>49</v>
      </c>
      <c r="AP290" t="s">
        <v>549</v>
      </c>
      <c r="AQ290" t="s">
        <v>549</v>
      </c>
      <c r="AR290" t="s">
        <v>755</v>
      </c>
      <c r="AS290" t="s">
        <v>750</v>
      </c>
      <c r="AT290" t="s">
        <v>751</v>
      </c>
      <c r="AU290" t="s">
        <v>752</v>
      </c>
      <c r="AW290" t="s">
        <v>601</v>
      </c>
      <c r="AX290" t="s">
        <v>753</v>
      </c>
      <c r="AY290" t="s">
        <v>556</v>
      </c>
      <c r="BA290" t="s">
        <v>754</v>
      </c>
      <c r="BB290" t="s">
        <v>558</v>
      </c>
      <c r="BC290" t="s">
        <v>49</v>
      </c>
      <c r="BD290" t="s">
        <v>755</v>
      </c>
      <c r="BH290" t="s">
        <v>560</v>
      </c>
      <c r="BI290" t="s">
        <v>561</v>
      </c>
      <c r="BK290" t="s">
        <v>607</v>
      </c>
      <c r="BL290" t="s">
        <v>562</v>
      </c>
      <c r="BM290" t="s">
        <v>1623</v>
      </c>
      <c r="BN290">
        <v>1</v>
      </c>
      <c r="BO290">
        <v>218.48</v>
      </c>
      <c r="BR290" t="s">
        <v>549</v>
      </c>
    </row>
    <row r="291" spans="1:70">
      <c r="A291" t="s">
        <v>1620</v>
      </c>
      <c r="B291" t="s">
        <v>48</v>
      </c>
      <c r="C291" t="s">
        <v>745</v>
      </c>
      <c r="D291" t="s">
        <v>746</v>
      </c>
      <c r="E291" t="s">
        <v>116</v>
      </c>
      <c r="F291">
        <v>3</v>
      </c>
      <c r="H291" t="s">
        <v>1621</v>
      </c>
      <c r="R291" t="s">
        <v>1622</v>
      </c>
      <c r="S291">
        <v>3</v>
      </c>
      <c r="T291" t="s">
        <v>588</v>
      </c>
      <c r="U291" t="s">
        <v>547</v>
      </c>
      <c r="V291">
        <v>3414.53</v>
      </c>
      <c r="W291">
        <v>4014.75</v>
      </c>
      <c r="X291">
        <v>3414.53</v>
      </c>
      <c r="Z291" t="s">
        <v>589</v>
      </c>
      <c r="AA291" t="s">
        <v>549</v>
      </c>
      <c r="AB291" t="s">
        <v>748</v>
      </c>
      <c r="AC291" t="s">
        <v>550</v>
      </c>
      <c r="AD291" t="s">
        <v>551</v>
      </c>
      <c r="BR291" t="s">
        <v>549</v>
      </c>
    </row>
    <row r="292" spans="1:70">
      <c r="A292" t="s">
        <v>1624</v>
      </c>
      <c r="B292" t="s">
        <v>386</v>
      </c>
      <c r="C292" t="s">
        <v>1290</v>
      </c>
      <c r="D292" t="s">
        <v>1291</v>
      </c>
      <c r="E292" t="s">
        <v>387</v>
      </c>
      <c r="F292">
        <v>2</v>
      </c>
      <c r="G292" t="s">
        <v>539</v>
      </c>
      <c r="H292" t="s">
        <v>1625</v>
      </c>
      <c r="I292" t="s">
        <v>748</v>
      </c>
      <c r="J292" t="s">
        <v>542</v>
      </c>
      <c r="K292">
        <v>23293.13</v>
      </c>
      <c r="L292">
        <v>0</v>
      </c>
      <c r="M292" t="s">
        <v>570</v>
      </c>
      <c r="N292" t="s">
        <v>544</v>
      </c>
      <c r="O292">
        <v>207.56</v>
      </c>
      <c r="P292">
        <v>20963.84</v>
      </c>
      <c r="Q292">
        <v>2329.29</v>
      </c>
      <c r="R292" t="s">
        <v>1626</v>
      </c>
      <c r="S292">
        <v>1</v>
      </c>
      <c r="T292" t="s">
        <v>1053</v>
      </c>
      <c r="U292" t="s">
        <v>547</v>
      </c>
      <c r="V292">
        <v>5965.32</v>
      </c>
      <c r="W292">
        <v>6628.13</v>
      </c>
      <c r="Z292" t="s">
        <v>1054</v>
      </c>
      <c r="AA292" t="s">
        <v>549</v>
      </c>
      <c r="AB292" t="s">
        <v>748</v>
      </c>
      <c r="AC292" t="s">
        <v>550</v>
      </c>
      <c r="AD292" t="s">
        <v>551</v>
      </c>
      <c r="AE292" t="s">
        <v>386</v>
      </c>
      <c r="AF292" t="s">
        <v>1294</v>
      </c>
      <c r="AG292" t="s">
        <v>1295</v>
      </c>
      <c r="AH292" t="s">
        <v>1296</v>
      </c>
      <c r="AI292" t="s">
        <v>577</v>
      </c>
      <c r="AJ292" t="s">
        <v>1297</v>
      </c>
      <c r="AK292" t="s">
        <v>556</v>
      </c>
      <c r="AM292" t="s">
        <v>579</v>
      </c>
      <c r="AN292" t="s">
        <v>558</v>
      </c>
      <c r="AO292" t="s">
        <v>1298</v>
      </c>
      <c r="AP292" t="s">
        <v>1299</v>
      </c>
      <c r="AQ292" t="s">
        <v>1300</v>
      </c>
      <c r="AR292" t="s">
        <v>1301</v>
      </c>
      <c r="AS292" t="s">
        <v>386</v>
      </c>
      <c r="AT292" t="s">
        <v>1302</v>
      </c>
      <c r="AU292" t="s">
        <v>1303</v>
      </c>
      <c r="AV292" t="s">
        <v>1296</v>
      </c>
      <c r="AW292" t="s">
        <v>577</v>
      </c>
      <c r="AX292" t="s">
        <v>1304</v>
      </c>
      <c r="AY292" t="s">
        <v>556</v>
      </c>
      <c r="BA292" t="s">
        <v>579</v>
      </c>
      <c r="BB292" t="s">
        <v>558</v>
      </c>
      <c r="BC292" t="s">
        <v>1305</v>
      </c>
      <c r="BD292" t="s">
        <v>1301</v>
      </c>
      <c r="BH292" t="s">
        <v>560</v>
      </c>
      <c r="BI292" t="s">
        <v>561</v>
      </c>
      <c r="BK292" t="s">
        <v>607</v>
      </c>
      <c r="BL292" t="s">
        <v>562</v>
      </c>
      <c r="BM292" t="s">
        <v>1627</v>
      </c>
      <c r="BN292">
        <v>1</v>
      </c>
      <c r="BO292">
        <v>207.56</v>
      </c>
      <c r="BR292" t="s">
        <v>549</v>
      </c>
    </row>
    <row r="293" spans="1:70">
      <c r="A293" t="s">
        <v>1624</v>
      </c>
      <c r="B293" t="s">
        <v>386</v>
      </c>
      <c r="C293" t="s">
        <v>1290</v>
      </c>
      <c r="D293" t="s">
        <v>1291</v>
      </c>
      <c r="E293" t="s">
        <v>387</v>
      </c>
      <c r="F293">
        <v>2</v>
      </c>
      <c r="H293" t="s">
        <v>1625</v>
      </c>
      <c r="R293" t="s">
        <v>1626</v>
      </c>
      <c r="S293">
        <v>4</v>
      </c>
      <c r="T293" t="s">
        <v>649</v>
      </c>
      <c r="U293" t="s">
        <v>547</v>
      </c>
      <c r="V293">
        <v>3749.63</v>
      </c>
      <c r="W293">
        <v>4166.25</v>
      </c>
      <c r="Z293" t="s">
        <v>650</v>
      </c>
      <c r="AA293" t="s">
        <v>549</v>
      </c>
      <c r="AB293" t="s">
        <v>748</v>
      </c>
      <c r="AC293" t="s">
        <v>550</v>
      </c>
      <c r="AD293" t="s">
        <v>551</v>
      </c>
      <c r="BR293" t="s">
        <v>549</v>
      </c>
    </row>
    <row r="294" spans="1:70">
      <c r="A294" t="s">
        <v>1628</v>
      </c>
      <c r="B294" t="s">
        <v>108</v>
      </c>
      <c r="C294" t="s">
        <v>992</v>
      </c>
      <c r="D294" t="s">
        <v>993</v>
      </c>
      <c r="E294" t="s">
        <v>110</v>
      </c>
      <c r="F294">
        <v>4</v>
      </c>
      <c r="G294" t="s">
        <v>539</v>
      </c>
      <c r="H294" t="s">
        <v>1629</v>
      </c>
      <c r="I294" t="s">
        <v>748</v>
      </c>
      <c r="J294" t="s">
        <v>542</v>
      </c>
      <c r="K294">
        <v>21816</v>
      </c>
      <c r="L294">
        <v>0</v>
      </c>
      <c r="M294" t="s">
        <v>543</v>
      </c>
      <c r="N294" t="s">
        <v>544</v>
      </c>
      <c r="O294">
        <v>194.4</v>
      </c>
      <c r="P294">
        <v>19634.400000000001</v>
      </c>
      <c r="Q294">
        <v>2381.6</v>
      </c>
      <c r="R294" t="s">
        <v>1630</v>
      </c>
      <c r="S294">
        <v>8</v>
      </c>
      <c r="T294" t="s">
        <v>584</v>
      </c>
      <c r="U294" t="s">
        <v>547</v>
      </c>
      <c r="V294">
        <v>2454.3000000000002</v>
      </c>
      <c r="W294">
        <v>2727</v>
      </c>
      <c r="Z294" t="s">
        <v>585</v>
      </c>
      <c r="AA294" t="s">
        <v>549</v>
      </c>
      <c r="AB294" t="s">
        <v>748</v>
      </c>
      <c r="AC294" t="s">
        <v>550</v>
      </c>
      <c r="AD294" t="s">
        <v>551</v>
      </c>
      <c r="AE294" t="s">
        <v>996</v>
      </c>
      <c r="AF294" t="s">
        <v>997</v>
      </c>
      <c r="AH294" t="s">
        <v>998</v>
      </c>
      <c r="AI294" t="s">
        <v>554</v>
      </c>
      <c r="AJ294" t="s">
        <v>999</v>
      </c>
      <c r="AK294" t="s">
        <v>556</v>
      </c>
      <c r="AM294" t="s">
        <v>1000</v>
      </c>
      <c r="AN294" t="s">
        <v>558</v>
      </c>
      <c r="AO294" t="s">
        <v>109</v>
      </c>
      <c r="AP294" t="s">
        <v>1001</v>
      </c>
      <c r="AQ294" t="s">
        <v>1002</v>
      </c>
      <c r="AR294" t="s">
        <v>1001</v>
      </c>
      <c r="AS294" t="s">
        <v>996</v>
      </c>
      <c r="AT294" t="s">
        <v>997</v>
      </c>
      <c r="AV294" t="s">
        <v>998</v>
      </c>
      <c r="AW294" t="s">
        <v>554</v>
      </c>
      <c r="AX294" t="s">
        <v>999</v>
      </c>
      <c r="AY294" t="s">
        <v>556</v>
      </c>
      <c r="BA294" t="s">
        <v>1000</v>
      </c>
      <c r="BB294" t="s">
        <v>558</v>
      </c>
      <c r="BC294" t="s">
        <v>109</v>
      </c>
      <c r="BD294" t="s">
        <v>1001</v>
      </c>
      <c r="BH294" t="s">
        <v>560</v>
      </c>
      <c r="BI294" t="s">
        <v>561</v>
      </c>
      <c r="BK294" t="s">
        <v>607</v>
      </c>
      <c r="BL294" t="s">
        <v>562</v>
      </c>
      <c r="BM294" t="s">
        <v>1631</v>
      </c>
      <c r="BN294">
        <v>1</v>
      </c>
      <c r="BO294">
        <v>194.4</v>
      </c>
      <c r="BR294" t="s">
        <v>549</v>
      </c>
    </row>
    <row r="295" spans="1:70">
      <c r="A295" t="s">
        <v>1632</v>
      </c>
      <c r="B295" t="s">
        <v>95</v>
      </c>
      <c r="C295" t="s">
        <v>936</v>
      </c>
      <c r="D295" t="s">
        <v>937</v>
      </c>
      <c r="E295" t="s">
        <v>97</v>
      </c>
      <c r="F295">
        <v>1</v>
      </c>
      <c r="G295" t="s">
        <v>539</v>
      </c>
      <c r="H295" t="s">
        <v>1633</v>
      </c>
      <c r="I295" t="s">
        <v>748</v>
      </c>
      <c r="J295" t="s">
        <v>542</v>
      </c>
      <c r="K295">
        <v>9045.2900000000009</v>
      </c>
      <c r="L295">
        <v>400</v>
      </c>
      <c r="M295" t="s">
        <v>543</v>
      </c>
      <c r="N295" t="s">
        <v>544</v>
      </c>
      <c r="O295">
        <v>156.22999999999999</v>
      </c>
      <c r="P295">
        <v>9445.2900000000009</v>
      </c>
      <c r="R295" t="s">
        <v>1634</v>
      </c>
      <c r="S295">
        <v>4</v>
      </c>
      <c r="T295" t="s">
        <v>818</v>
      </c>
      <c r="U295" t="s">
        <v>547</v>
      </c>
      <c r="V295">
        <v>725.94</v>
      </c>
      <c r="W295">
        <v>725.94</v>
      </c>
      <c r="Z295" t="s">
        <v>819</v>
      </c>
      <c r="AA295" t="s">
        <v>549</v>
      </c>
      <c r="AB295" t="s">
        <v>748</v>
      </c>
      <c r="AC295" t="s">
        <v>550</v>
      </c>
      <c r="AD295" t="s">
        <v>551</v>
      </c>
      <c r="AE295" t="s">
        <v>1377</v>
      </c>
      <c r="AF295" t="s">
        <v>1378</v>
      </c>
      <c r="AG295" t="s">
        <v>1379</v>
      </c>
      <c r="AH295" t="s">
        <v>1380</v>
      </c>
      <c r="AI295" t="s">
        <v>670</v>
      </c>
      <c r="AJ295" t="s">
        <v>942</v>
      </c>
      <c r="AK295" t="s">
        <v>556</v>
      </c>
      <c r="AM295" t="s">
        <v>672</v>
      </c>
      <c r="AN295" t="s">
        <v>558</v>
      </c>
      <c r="AO295" t="s">
        <v>96</v>
      </c>
      <c r="AP295" t="s">
        <v>943</v>
      </c>
      <c r="AQ295" t="s">
        <v>1381</v>
      </c>
      <c r="AR295" t="s">
        <v>943</v>
      </c>
      <c r="AS295" t="s">
        <v>1377</v>
      </c>
      <c r="AT295" t="s">
        <v>1378</v>
      </c>
      <c r="AU295" t="s">
        <v>1379</v>
      </c>
      <c r="AV295" t="s">
        <v>1380</v>
      </c>
      <c r="AW295" t="s">
        <v>670</v>
      </c>
      <c r="AX295" t="s">
        <v>942</v>
      </c>
      <c r="AY295" t="s">
        <v>556</v>
      </c>
      <c r="BA295" t="s">
        <v>672</v>
      </c>
      <c r="BB295" t="s">
        <v>558</v>
      </c>
      <c r="BC295" t="s">
        <v>96</v>
      </c>
      <c r="BD295" t="s">
        <v>943</v>
      </c>
      <c r="BH295" t="s">
        <v>560</v>
      </c>
      <c r="BI295" t="s">
        <v>561</v>
      </c>
      <c r="BK295" t="s">
        <v>607</v>
      </c>
      <c r="BL295" t="s">
        <v>562</v>
      </c>
      <c r="BM295" t="s">
        <v>1635</v>
      </c>
      <c r="BN295">
        <v>1</v>
      </c>
      <c r="BO295">
        <v>89.56</v>
      </c>
      <c r="BP295">
        <v>20</v>
      </c>
      <c r="BQ295">
        <v>66.67</v>
      </c>
      <c r="BR295" t="s">
        <v>549</v>
      </c>
    </row>
    <row r="296" spans="1:70">
      <c r="A296" t="s">
        <v>1632</v>
      </c>
      <c r="B296" t="s">
        <v>95</v>
      </c>
      <c r="C296" t="s">
        <v>936</v>
      </c>
      <c r="D296" t="s">
        <v>937</v>
      </c>
      <c r="E296" t="s">
        <v>97</v>
      </c>
      <c r="F296">
        <v>1</v>
      </c>
      <c r="H296" t="s">
        <v>1633</v>
      </c>
      <c r="R296" t="s">
        <v>1634</v>
      </c>
      <c r="S296">
        <v>1</v>
      </c>
      <c r="T296" t="s">
        <v>588</v>
      </c>
      <c r="U296" t="s">
        <v>547</v>
      </c>
      <c r="V296">
        <v>3414.53</v>
      </c>
      <c r="W296">
        <v>4014.75</v>
      </c>
      <c r="X296">
        <v>3414.53</v>
      </c>
      <c r="Z296" t="s">
        <v>589</v>
      </c>
      <c r="AA296" t="s">
        <v>549</v>
      </c>
      <c r="AB296" t="s">
        <v>748</v>
      </c>
      <c r="AC296" t="s">
        <v>550</v>
      </c>
      <c r="AD296" t="s">
        <v>551</v>
      </c>
      <c r="BR296" t="s">
        <v>549</v>
      </c>
    </row>
    <row r="297" spans="1:70">
      <c r="A297" t="s">
        <v>1632</v>
      </c>
      <c r="B297" t="s">
        <v>95</v>
      </c>
      <c r="C297" t="s">
        <v>936</v>
      </c>
      <c r="D297" t="s">
        <v>937</v>
      </c>
      <c r="E297" t="s">
        <v>97</v>
      </c>
      <c r="F297">
        <v>1</v>
      </c>
      <c r="H297" t="s">
        <v>1633</v>
      </c>
      <c r="R297" t="s">
        <v>1634</v>
      </c>
      <c r="S297">
        <v>1</v>
      </c>
      <c r="T297" t="s">
        <v>584</v>
      </c>
      <c r="U297" t="s">
        <v>547</v>
      </c>
      <c r="V297">
        <v>2727</v>
      </c>
      <c r="W297">
        <v>2727</v>
      </c>
      <c r="Z297" t="s">
        <v>585</v>
      </c>
      <c r="AA297" t="s">
        <v>549</v>
      </c>
      <c r="AB297" t="s">
        <v>748</v>
      </c>
      <c r="AC297" t="s">
        <v>550</v>
      </c>
      <c r="AD297" t="s">
        <v>551</v>
      </c>
      <c r="BR297" t="s">
        <v>549</v>
      </c>
    </row>
    <row r="298" spans="1:70">
      <c r="A298" t="s">
        <v>1636</v>
      </c>
      <c r="B298" t="s">
        <v>396</v>
      </c>
      <c r="C298" t="s">
        <v>1637</v>
      </c>
      <c r="D298" t="s">
        <v>1638</v>
      </c>
      <c r="E298" t="s">
        <v>397</v>
      </c>
      <c r="F298">
        <v>1</v>
      </c>
      <c r="G298" t="s">
        <v>539</v>
      </c>
      <c r="H298" t="s">
        <v>1639</v>
      </c>
      <c r="I298" t="s">
        <v>748</v>
      </c>
      <c r="J298" t="s">
        <v>542</v>
      </c>
      <c r="K298">
        <v>3187.82</v>
      </c>
      <c r="L298">
        <v>400</v>
      </c>
      <c r="M298" t="s">
        <v>543</v>
      </c>
      <c r="N298" t="s">
        <v>544</v>
      </c>
      <c r="O298">
        <v>98.23</v>
      </c>
      <c r="P298">
        <v>3587.82</v>
      </c>
      <c r="R298" t="s">
        <v>1640</v>
      </c>
      <c r="S298">
        <v>1</v>
      </c>
      <c r="T298" t="s">
        <v>704</v>
      </c>
      <c r="U298" t="s">
        <v>547</v>
      </c>
      <c r="V298">
        <v>2461.88</v>
      </c>
      <c r="W298">
        <v>2461.88</v>
      </c>
      <c r="Z298" t="s">
        <v>705</v>
      </c>
      <c r="AA298" t="s">
        <v>549</v>
      </c>
      <c r="AB298" t="s">
        <v>748</v>
      </c>
      <c r="AC298" t="s">
        <v>550</v>
      </c>
      <c r="AD298" t="s">
        <v>551</v>
      </c>
      <c r="AE298" t="s">
        <v>396</v>
      </c>
      <c r="AF298" t="s">
        <v>1641</v>
      </c>
      <c r="AG298" t="s">
        <v>1642</v>
      </c>
      <c r="AH298" t="s">
        <v>1643</v>
      </c>
      <c r="AI298" t="s">
        <v>1644</v>
      </c>
      <c r="AJ298" t="s">
        <v>1645</v>
      </c>
      <c r="AK298" t="s">
        <v>556</v>
      </c>
      <c r="AM298" t="s">
        <v>1646</v>
      </c>
      <c r="AN298" t="s">
        <v>558</v>
      </c>
      <c r="AO298" t="s">
        <v>1647</v>
      </c>
      <c r="AP298" t="s">
        <v>1648</v>
      </c>
      <c r="AQ298" t="s">
        <v>1649</v>
      </c>
      <c r="AR298" t="s">
        <v>1650</v>
      </c>
      <c r="AS298" t="s">
        <v>396</v>
      </c>
      <c r="AT298" t="s">
        <v>1641</v>
      </c>
      <c r="AU298" t="s">
        <v>1642</v>
      </c>
      <c r="AV298" t="s">
        <v>1643</v>
      </c>
      <c r="AW298" t="s">
        <v>1644</v>
      </c>
      <c r="AX298" t="s">
        <v>1645</v>
      </c>
      <c r="AY298" t="s">
        <v>556</v>
      </c>
      <c r="BA298" t="s">
        <v>1646</v>
      </c>
      <c r="BB298" t="s">
        <v>558</v>
      </c>
      <c r="BC298" t="s">
        <v>1647</v>
      </c>
      <c r="BD298" t="s">
        <v>1650</v>
      </c>
      <c r="BH298" t="s">
        <v>560</v>
      </c>
      <c r="BI298" t="s">
        <v>561</v>
      </c>
      <c r="BK298" t="s">
        <v>607</v>
      </c>
      <c r="BL298" t="s">
        <v>562</v>
      </c>
      <c r="BM298" t="s">
        <v>1651</v>
      </c>
      <c r="BN298">
        <v>1</v>
      </c>
      <c r="BO298">
        <v>31.56</v>
      </c>
      <c r="BP298">
        <v>20</v>
      </c>
      <c r="BQ298">
        <v>66.67</v>
      </c>
      <c r="BR298" t="s">
        <v>549</v>
      </c>
    </row>
    <row r="299" spans="1:70">
      <c r="A299" t="s">
        <v>1636</v>
      </c>
      <c r="B299" t="s">
        <v>396</v>
      </c>
      <c r="C299" t="s">
        <v>1637</v>
      </c>
      <c r="D299" t="s">
        <v>1638</v>
      </c>
      <c r="E299" t="s">
        <v>397</v>
      </c>
      <c r="F299">
        <v>1</v>
      </c>
      <c r="H299" t="s">
        <v>1639</v>
      </c>
      <c r="R299" t="s">
        <v>1640</v>
      </c>
      <c r="S299">
        <v>1</v>
      </c>
      <c r="T299" t="s">
        <v>818</v>
      </c>
      <c r="U299" t="s">
        <v>547</v>
      </c>
      <c r="V299">
        <v>725.94</v>
      </c>
      <c r="W299">
        <v>725.94</v>
      </c>
      <c r="Z299" t="s">
        <v>819</v>
      </c>
      <c r="AA299" t="s">
        <v>549</v>
      </c>
      <c r="AB299" t="s">
        <v>748</v>
      </c>
      <c r="AC299" t="s">
        <v>550</v>
      </c>
      <c r="AD299" t="s">
        <v>551</v>
      </c>
      <c r="BR299" t="s">
        <v>549</v>
      </c>
    </row>
    <row r="300" spans="1:70">
      <c r="A300" t="s">
        <v>1652</v>
      </c>
      <c r="B300" t="s">
        <v>349</v>
      </c>
      <c r="C300" t="s">
        <v>1653</v>
      </c>
      <c r="D300" t="s">
        <v>1654</v>
      </c>
      <c r="E300" t="s">
        <v>351</v>
      </c>
      <c r="F300">
        <v>1</v>
      </c>
      <c r="G300" t="s">
        <v>539</v>
      </c>
      <c r="H300" t="s">
        <v>1655</v>
      </c>
      <c r="I300" t="s">
        <v>748</v>
      </c>
      <c r="J300" t="s">
        <v>542</v>
      </c>
      <c r="K300">
        <v>20915.7</v>
      </c>
      <c r="L300">
        <v>0</v>
      </c>
      <c r="M300" t="s">
        <v>570</v>
      </c>
      <c r="N300" t="s">
        <v>544</v>
      </c>
      <c r="O300">
        <v>207.09</v>
      </c>
      <c r="P300">
        <v>20915.7</v>
      </c>
      <c r="R300" t="s">
        <v>1656</v>
      </c>
      <c r="S300">
        <v>13</v>
      </c>
      <c r="T300" t="s">
        <v>616</v>
      </c>
      <c r="U300" t="s">
        <v>547</v>
      </c>
      <c r="V300">
        <v>1608.9</v>
      </c>
      <c r="W300">
        <v>1893.75</v>
      </c>
      <c r="X300">
        <v>1608.9</v>
      </c>
      <c r="Z300" t="s">
        <v>617</v>
      </c>
      <c r="AA300" t="s">
        <v>549</v>
      </c>
      <c r="AB300" t="s">
        <v>748</v>
      </c>
      <c r="AC300" t="s">
        <v>550</v>
      </c>
      <c r="AD300" t="s">
        <v>551</v>
      </c>
      <c r="AE300" t="s">
        <v>1657</v>
      </c>
      <c r="AF300" t="s">
        <v>1658</v>
      </c>
      <c r="AI300" t="s">
        <v>688</v>
      </c>
      <c r="AJ300" t="s">
        <v>1659</v>
      </c>
      <c r="AK300" t="s">
        <v>556</v>
      </c>
      <c r="AM300" t="s">
        <v>1660</v>
      </c>
      <c r="AN300" t="s">
        <v>558</v>
      </c>
      <c r="AO300" t="s">
        <v>350</v>
      </c>
      <c r="AP300" t="s">
        <v>549</v>
      </c>
      <c r="AQ300" t="s">
        <v>549</v>
      </c>
      <c r="AR300" t="s">
        <v>1661</v>
      </c>
      <c r="AS300" t="s">
        <v>1657</v>
      </c>
      <c r="AT300" t="s">
        <v>1658</v>
      </c>
      <c r="AW300" t="s">
        <v>688</v>
      </c>
      <c r="AX300" t="s">
        <v>1659</v>
      </c>
      <c r="AY300" t="s">
        <v>556</v>
      </c>
      <c r="BA300" t="s">
        <v>1660</v>
      </c>
      <c r="BB300" t="s">
        <v>558</v>
      </c>
      <c r="BC300" t="s">
        <v>350</v>
      </c>
      <c r="BD300" t="s">
        <v>1661</v>
      </c>
      <c r="BH300" t="s">
        <v>560</v>
      </c>
      <c r="BI300" t="s">
        <v>561</v>
      </c>
      <c r="BK300" t="s">
        <v>607</v>
      </c>
      <c r="BL300" t="s">
        <v>562</v>
      </c>
      <c r="BM300" t="s">
        <v>1662</v>
      </c>
      <c r="BN300">
        <v>1</v>
      </c>
      <c r="BO300">
        <v>207.09</v>
      </c>
      <c r="BR300" t="s">
        <v>549</v>
      </c>
    </row>
    <row r="301" spans="1:70">
      <c r="A301" t="s">
        <v>1663</v>
      </c>
      <c r="B301" t="s">
        <v>398</v>
      </c>
      <c r="C301" t="s">
        <v>973</v>
      </c>
      <c r="D301" t="s">
        <v>1664</v>
      </c>
      <c r="E301" t="s">
        <v>399</v>
      </c>
      <c r="F301">
        <v>1</v>
      </c>
      <c r="G301" t="s">
        <v>539</v>
      </c>
      <c r="H301" t="s">
        <v>1665</v>
      </c>
      <c r="I301" t="s">
        <v>748</v>
      </c>
      <c r="J301" t="s">
        <v>542</v>
      </c>
      <c r="K301">
        <v>3093.13</v>
      </c>
      <c r="L301">
        <v>400</v>
      </c>
      <c r="M301" t="s">
        <v>543</v>
      </c>
      <c r="N301" t="s">
        <v>544</v>
      </c>
      <c r="O301">
        <v>97.3</v>
      </c>
      <c r="P301">
        <v>3493.13</v>
      </c>
      <c r="R301" t="s">
        <v>1666</v>
      </c>
      <c r="S301">
        <v>1</v>
      </c>
      <c r="T301" t="s">
        <v>1287</v>
      </c>
      <c r="U301" t="s">
        <v>547</v>
      </c>
      <c r="V301">
        <v>1515</v>
      </c>
      <c r="W301">
        <v>1515</v>
      </c>
      <c r="Z301" t="s">
        <v>1288</v>
      </c>
      <c r="AA301" t="s">
        <v>549</v>
      </c>
      <c r="AB301" t="s">
        <v>748</v>
      </c>
      <c r="AC301" t="s">
        <v>550</v>
      </c>
      <c r="AD301" t="s">
        <v>551</v>
      </c>
      <c r="AE301" t="s">
        <v>398</v>
      </c>
      <c r="AF301" t="s">
        <v>1667</v>
      </c>
      <c r="AI301" t="s">
        <v>1668</v>
      </c>
      <c r="AJ301" t="s">
        <v>1669</v>
      </c>
      <c r="AK301" t="s">
        <v>556</v>
      </c>
      <c r="AM301" t="s">
        <v>690</v>
      </c>
      <c r="AN301" t="s">
        <v>558</v>
      </c>
      <c r="AO301" t="s">
        <v>368</v>
      </c>
      <c r="AP301" t="s">
        <v>549</v>
      </c>
      <c r="AQ301" t="s">
        <v>549</v>
      </c>
      <c r="AR301" t="s">
        <v>1670</v>
      </c>
      <c r="AS301" t="s">
        <v>398</v>
      </c>
      <c r="AT301" t="s">
        <v>1667</v>
      </c>
      <c r="AW301" t="s">
        <v>1668</v>
      </c>
      <c r="AX301" t="s">
        <v>1669</v>
      </c>
      <c r="AY301" t="s">
        <v>556</v>
      </c>
      <c r="BA301" t="s">
        <v>690</v>
      </c>
      <c r="BB301" t="s">
        <v>558</v>
      </c>
      <c r="BC301" t="s">
        <v>368</v>
      </c>
      <c r="BD301" t="s">
        <v>1670</v>
      </c>
      <c r="BH301" t="s">
        <v>560</v>
      </c>
      <c r="BI301" t="s">
        <v>561</v>
      </c>
      <c r="BK301" t="s">
        <v>607</v>
      </c>
      <c r="BL301" t="s">
        <v>562</v>
      </c>
      <c r="BM301" t="s">
        <v>1671</v>
      </c>
      <c r="BN301">
        <v>1</v>
      </c>
      <c r="BO301">
        <v>30.63</v>
      </c>
      <c r="BP301">
        <v>20</v>
      </c>
      <c r="BQ301">
        <v>66.67</v>
      </c>
      <c r="BR301" t="s">
        <v>549</v>
      </c>
    </row>
    <row r="302" spans="1:70">
      <c r="A302" t="s">
        <v>1663</v>
      </c>
      <c r="B302" t="s">
        <v>398</v>
      </c>
      <c r="C302" t="s">
        <v>973</v>
      </c>
      <c r="D302" t="s">
        <v>1664</v>
      </c>
      <c r="E302" t="s">
        <v>399</v>
      </c>
      <c r="F302">
        <v>1</v>
      </c>
      <c r="H302" t="s">
        <v>1665</v>
      </c>
      <c r="R302" t="s">
        <v>1666</v>
      </c>
      <c r="S302">
        <v>1</v>
      </c>
      <c r="T302" t="s">
        <v>921</v>
      </c>
      <c r="U302" t="s">
        <v>547</v>
      </c>
      <c r="V302">
        <v>1578.13</v>
      </c>
      <c r="W302">
        <v>1578.13</v>
      </c>
      <c r="Z302" t="s">
        <v>922</v>
      </c>
      <c r="AA302" t="s">
        <v>549</v>
      </c>
      <c r="AB302" t="s">
        <v>748</v>
      </c>
      <c r="AC302" t="s">
        <v>550</v>
      </c>
      <c r="AD302" t="s">
        <v>551</v>
      </c>
      <c r="BR302" t="s">
        <v>549</v>
      </c>
    </row>
    <row r="303" spans="1:70">
      <c r="A303" t="s">
        <v>1672</v>
      </c>
      <c r="B303" t="s">
        <v>83</v>
      </c>
      <c r="C303" t="s">
        <v>903</v>
      </c>
      <c r="D303" t="s">
        <v>904</v>
      </c>
      <c r="E303" t="s">
        <v>85</v>
      </c>
      <c r="F303">
        <v>1</v>
      </c>
      <c r="G303" t="s">
        <v>539</v>
      </c>
      <c r="H303" t="s">
        <v>1673</v>
      </c>
      <c r="I303" t="s">
        <v>748</v>
      </c>
      <c r="J303" t="s">
        <v>542</v>
      </c>
      <c r="K303">
        <v>6628.13</v>
      </c>
      <c r="L303">
        <v>400</v>
      </c>
      <c r="M303" t="s">
        <v>543</v>
      </c>
      <c r="N303" t="s">
        <v>544</v>
      </c>
      <c r="O303">
        <v>132.30000000000001</v>
      </c>
      <c r="P303">
        <v>7028.13</v>
      </c>
      <c r="R303" t="s">
        <v>1674</v>
      </c>
      <c r="S303">
        <v>1</v>
      </c>
      <c r="T303" t="s">
        <v>1053</v>
      </c>
      <c r="U303" t="s">
        <v>547</v>
      </c>
      <c r="V303">
        <v>6628.13</v>
      </c>
      <c r="W303">
        <v>6628.13</v>
      </c>
      <c r="Z303" t="s">
        <v>1054</v>
      </c>
      <c r="AA303" t="s">
        <v>549</v>
      </c>
      <c r="AB303" t="s">
        <v>748</v>
      </c>
      <c r="AC303" t="s">
        <v>550</v>
      </c>
      <c r="AD303" t="s">
        <v>551</v>
      </c>
      <c r="AE303" t="s">
        <v>83</v>
      </c>
      <c r="AF303" t="s">
        <v>910</v>
      </c>
      <c r="AG303" t="s">
        <v>1675</v>
      </c>
      <c r="AH303" t="s">
        <v>911</v>
      </c>
      <c r="AI303" t="s">
        <v>688</v>
      </c>
      <c r="AJ303" t="s">
        <v>912</v>
      </c>
      <c r="AK303" t="s">
        <v>556</v>
      </c>
      <c r="AM303" t="s">
        <v>690</v>
      </c>
      <c r="AN303" t="s">
        <v>558</v>
      </c>
      <c r="AO303" t="s">
        <v>84</v>
      </c>
      <c r="AP303" t="s">
        <v>913</v>
      </c>
      <c r="AQ303" t="s">
        <v>688</v>
      </c>
      <c r="AR303" t="s">
        <v>914</v>
      </c>
      <c r="AS303" t="s">
        <v>83</v>
      </c>
      <c r="AT303" t="s">
        <v>910</v>
      </c>
      <c r="AU303" t="s">
        <v>1675</v>
      </c>
      <c r="AV303" t="s">
        <v>911</v>
      </c>
      <c r="AW303" t="s">
        <v>688</v>
      </c>
      <c r="AX303" t="s">
        <v>912</v>
      </c>
      <c r="AY303" t="s">
        <v>556</v>
      </c>
      <c r="BA303" t="s">
        <v>690</v>
      </c>
      <c r="BB303" t="s">
        <v>558</v>
      </c>
      <c r="BC303" t="s">
        <v>84</v>
      </c>
      <c r="BD303" t="s">
        <v>914</v>
      </c>
      <c r="BH303" t="s">
        <v>560</v>
      </c>
      <c r="BI303" t="s">
        <v>561</v>
      </c>
      <c r="BK303" t="s">
        <v>607</v>
      </c>
      <c r="BL303" t="s">
        <v>562</v>
      </c>
      <c r="BM303" t="s">
        <v>1676</v>
      </c>
      <c r="BN303">
        <v>1</v>
      </c>
      <c r="BO303">
        <v>65.63</v>
      </c>
      <c r="BP303">
        <v>20</v>
      </c>
      <c r="BQ303">
        <v>66.67</v>
      </c>
      <c r="BR303" t="s">
        <v>549</v>
      </c>
    </row>
    <row r="304" spans="1:70">
      <c r="A304" t="s">
        <v>1677</v>
      </c>
      <c r="B304" t="s">
        <v>186</v>
      </c>
      <c r="C304" t="s">
        <v>1678</v>
      </c>
      <c r="D304" t="s">
        <v>1679</v>
      </c>
      <c r="E304" t="s">
        <v>188</v>
      </c>
      <c r="F304">
        <v>1</v>
      </c>
      <c r="G304" t="s">
        <v>1140</v>
      </c>
      <c r="H304" t="s">
        <v>1680</v>
      </c>
      <c r="I304" t="s">
        <v>1140</v>
      </c>
      <c r="J304" t="s">
        <v>542</v>
      </c>
      <c r="K304">
        <v>5744.38</v>
      </c>
      <c r="L304">
        <v>400</v>
      </c>
      <c r="M304" t="s">
        <v>543</v>
      </c>
      <c r="N304" t="s">
        <v>544</v>
      </c>
      <c r="O304">
        <v>123.55</v>
      </c>
      <c r="P304">
        <v>6144.38</v>
      </c>
      <c r="R304" t="s">
        <v>1681</v>
      </c>
      <c r="S304">
        <v>1</v>
      </c>
      <c r="T304" t="s">
        <v>907</v>
      </c>
      <c r="U304" t="s">
        <v>547</v>
      </c>
      <c r="V304">
        <v>3345.63</v>
      </c>
      <c r="W304">
        <v>3345.63</v>
      </c>
      <c r="Z304" t="s">
        <v>908</v>
      </c>
      <c r="AA304" t="s">
        <v>549</v>
      </c>
      <c r="AB304" t="s">
        <v>1140</v>
      </c>
      <c r="AC304" t="s">
        <v>550</v>
      </c>
      <c r="AD304" t="s">
        <v>551</v>
      </c>
      <c r="AE304" t="s">
        <v>186</v>
      </c>
      <c r="AF304" t="s">
        <v>1682</v>
      </c>
      <c r="AG304" t="s">
        <v>1523</v>
      </c>
      <c r="AI304" t="s">
        <v>1683</v>
      </c>
      <c r="AJ304" t="s">
        <v>1684</v>
      </c>
      <c r="AK304" t="s">
        <v>556</v>
      </c>
      <c r="AM304" t="s">
        <v>690</v>
      </c>
      <c r="AN304" t="s">
        <v>558</v>
      </c>
      <c r="AO304" t="s">
        <v>187</v>
      </c>
      <c r="AP304" t="s">
        <v>549</v>
      </c>
      <c r="AQ304" t="s">
        <v>549</v>
      </c>
      <c r="AR304" t="s">
        <v>1685</v>
      </c>
      <c r="AS304" t="s">
        <v>186</v>
      </c>
      <c r="AT304" t="s">
        <v>1682</v>
      </c>
      <c r="AU304" t="s">
        <v>1523</v>
      </c>
      <c r="AW304" t="s">
        <v>1683</v>
      </c>
      <c r="AX304" t="s">
        <v>1684</v>
      </c>
      <c r="AY304" t="s">
        <v>556</v>
      </c>
      <c r="BA304" t="s">
        <v>690</v>
      </c>
      <c r="BB304" t="s">
        <v>558</v>
      </c>
      <c r="BC304" t="s">
        <v>187</v>
      </c>
      <c r="BD304" t="s">
        <v>1685</v>
      </c>
      <c r="BH304" t="s">
        <v>560</v>
      </c>
      <c r="BI304" t="s">
        <v>561</v>
      </c>
      <c r="BJ304">
        <v>3345.63</v>
      </c>
      <c r="BK304" t="s">
        <v>607</v>
      </c>
      <c r="BL304" t="s">
        <v>562</v>
      </c>
      <c r="BM304" t="s">
        <v>1686</v>
      </c>
      <c r="BN304">
        <v>1</v>
      </c>
      <c r="BO304">
        <v>56.88</v>
      </c>
      <c r="BP304">
        <v>20</v>
      </c>
      <c r="BQ304">
        <v>66.67</v>
      </c>
      <c r="BR304" t="s">
        <v>549</v>
      </c>
    </row>
    <row r="305" spans="1:70">
      <c r="A305" t="s">
        <v>1677</v>
      </c>
      <c r="B305" t="s">
        <v>186</v>
      </c>
      <c r="C305" t="s">
        <v>1678</v>
      </c>
      <c r="D305" t="s">
        <v>1679</v>
      </c>
      <c r="E305" t="s">
        <v>188</v>
      </c>
      <c r="F305">
        <v>1</v>
      </c>
      <c r="H305" t="s">
        <v>1680</v>
      </c>
      <c r="R305" t="s">
        <v>1681</v>
      </c>
      <c r="S305">
        <v>1</v>
      </c>
      <c r="T305" t="s">
        <v>1033</v>
      </c>
      <c r="U305" t="s">
        <v>547</v>
      </c>
      <c r="V305">
        <v>2398.75</v>
      </c>
      <c r="W305">
        <v>2398.75</v>
      </c>
      <c r="Z305" t="s">
        <v>1034</v>
      </c>
      <c r="AA305" t="s">
        <v>549</v>
      </c>
      <c r="AB305" t="s">
        <v>1140</v>
      </c>
      <c r="AC305" t="s">
        <v>550</v>
      </c>
      <c r="AD305" t="s">
        <v>551</v>
      </c>
      <c r="BJ305">
        <v>2398.75</v>
      </c>
      <c r="BR305" t="s">
        <v>549</v>
      </c>
    </row>
    <row r="306" spans="1:70">
      <c r="A306" t="s">
        <v>1687</v>
      </c>
      <c r="B306" t="s">
        <v>114</v>
      </c>
      <c r="C306" t="s">
        <v>770</v>
      </c>
      <c r="D306" t="s">
        <v>771</v>
      </c>
      <c r="E306" t="s">
        <v>135</v>
      </c>
      <c r="F306">
        <v>2</v>
      </c>
      <c r="G306" t="s">
        <v>539</v>
      </c>
      <c r="H306" t="s">
        <v>1688</v>
      </c>
      <c r="I306" t="s">
        <v>748</v>
      </c>
      <c r="J306" t="s">
        <v>542</v>
      </c>
      <c r="K306">
        <v>34693.5</v>
      </c>
      <c r="L306">
        <v>0</v>
      </c>
      <c r="M306" t="s">
        <v>570</v>
      </c>
      <c r="N306" t="s">
        <v>544</v>
      </c>
      <c r="O306">
        <v>309.14999999999998</v>
      </c>
      <c r="P306">
        <v>31224.17</v>
      </c>
      <c r="Q306">
        <v>3469.33</v>
      </c>
      <c r="R306" t="s">
        <v>1689</v>
      </c>
      <c r="S306">
        <v>1</v>
      </c>
      <c r="T306" t="s">
        <v>584</v>
      </c>
      <c r="U306" t="s">
        <v>547</v>
      </c>
      <c r="V306">
        <v>2454.3000000000002</v>
      </c>
      <c r="W306">
        <v>2727</v>
      </c>
      <c r="Z306" t="s">
        <v>585</v>
      </c>
      <c r="AA306" t="s">
        <v>549</v>
      </c>
      <c r="AB306" t="s">
        <v>748</v>
      </c>
      <c r="AC306" t="s">
        <v>550</v>
      </c>
      <c r="AD306" t="s">
        <v>551</v>
      </c>
      <c r="AE306" t="s">
        <v>114</v>
      </c>
      <c r="AF306" t="s">
        <v>774</v>
      </c>
      <c r="AG306" t="s">
        <v>775</v>
      </c>
      <c r="AH306" t="s">
        <v>114</v>
      </c>
      <c r="AI306" t="s">
        <v>688</v>
      </c>
      <c r="AJ306" t="s">
        <v>776</v>
      </c>
      <c r="AK306" t="s">
        <v>556</v>
      </c>
      <c r="AM306" t="s">
        <v>777</v>
      </c>
      <c r="AN306" t="s">
        <v>558</v>
      </c>
      <c r="AO306" t="s">
        <v>115</v>
      </c>
      <c r="AP306" t="s">
        <v>778</v>
      </c>
      <c r="AQ306" t="s">
        <v>777</v>
      </c>
      <c r="AR306" t="s">
        <v>778</v>
      </c>
      <c r="AS306" t="s">
        <v>114</v>
      </c>
      <c r="AT306" t="s">
        <v>774</v>
      </c>
      <c r="AU306" t="s">
        <v>775</v>
      </c>
      <c r="AV306" t="s">
        <v>114</v>
      </c>
      <c r="AW306" t="s">
        <v>688</v>
      </c>
      <c r="AX306" t="s">
        <v>776</v>
      </c>
      <c r="AY306" t="s">
        <v>556</v>
      </c>
      <c r="BA306" t="s">
        <v>777</v>
      </c>
      <c r="BB306" t="s">
        <v>558</v>
      </c>
      <c r="BC306" t="s">
        <v>115</v>
      </c>
      <c r="BD306" t="s">
        <v>778</v>
      </c>
      <c r="BH306" t="s">
        <v>560</v>
      </c>
      <c r="BI306" t="s">
        <v>561</v>
      </c>
      <c r="BK306" t="s">
        <v>607</v>
      </c>
      <c r="BL306" t="s">
        <v>562</v>
      </c>
      <c r="BM306" t="s">
        <v>1690</v>
      </c>
      <c r="BN306">
        <v>1</v>
      </c>
      <c r="BO306">
        <v>309.14999999999998</v>
      </c>
      <c r="BR306" t="s">
        <v>549</v>
      </c>
    </row>
    <row r="307" spans="1:70">
      <c r="A307" t="s">
        <v>1687</v>
      </c>
      <c r="B307" t="s">
        <v>114</v>
      </c>
      <c r="C307" t="s">
        <v>770</v>
      </c>
      <c r="D307" t="s">
        <v>771</v>
      </c>
      <c r="E307" t="s">
        <v>135</v>
      </c>
      <c r="F307">
        <v>2</v>
      </c>
      <c r="H307" t="s">
        <v>1688</v>
      </c>
      <c r="R307" t="s">
        <v>1689</v>
      </c>
      <c r="S307">
        <v>4</v>
      </c>
      <c r="T307" t="s">
        <v>588</v>
      </c>
      <c r="U307" t="s">
        <v>547</v>
      </c>
      <c r="V307">
        <v>3613.28</v>
      </c>
      <c r="W307">
        <v>4014.75</v>
      </c>
      <c r="Z307" t="s">
        <v>589</v>
      </c>
      <c r="AA307" t="s">
        <v>549</v>
      </c>
      <c r="AB307" t="s">
        <v>748</v>
      </c>
      <c r="AC307" t="s">
        <v>550</v>
      </c>
      <c r="AD307" t="s">
        <v>551</v>
      </c>
      <c r="BR307" t="s">
        <v>549</v>
      </c>
    </row>
    <row r="308" spans="1:70">
      <c r="A308" t="s">
        <v>1687</v>
      </c>
      <c r="B308" t="s">
        <v>114</v>
      </c>
      <c r="C308" t="s">
        <v>770</v>
      </c>
      <c r="D308" t="s">
        <v>771</v>
      </c>
      <c r="E308" t="s">
        <v>135</v>
      </c>
      <c r="F308">
        <v>2</v>
      </c>
      <c r="H308" t="s">
        <v>1688</v>
      </c>
      <c r="R308" t="s">
        <v>1689</v>
      </c>
      <c r="S308">
        <v>3</v>
      </c>
      <c r="T308" t="s">
        <v>586</v>
      </c>
      <c r="U308" t="s">
        <v>547</v>
      </c>
      <c r="V308">
        <v>4772.25</v>
      </c>
      <c r="W308">
        <v>5302.5</v>
      </c>
      <c r="Z308" t="s">
        <v>587</v>
      </c>
      <c r="AA308" t="s">
        <v>549</v>
      </c>
      <c r="AB308" t="s">
        <v>748</v>
      </c>
      <c r="AC308" t="s">
        <v>550</v>
      </c>
      <c r="AD308" t="s">
        <v>551</v>
      </c>
      <c r="BR308" t="s">
        <v>549</v>
      </c>
    </row>
    <row r="309" spans="1:70">
      <c r="A309" t="s">
        <v>1691</v>
      </c>
      <c r="B309" t="s">
        <v>301</v>
      </c>
      <c r="C309" t="s">
        <v>1692</v>
      </c>
      <c r="D309" t="s">
        <v>1693</v>
      </c>
      <c r="E309" t="s">
        <v>303</v>
      </c>
      <c r="F309">
        <v>1</v>
      </c>
      <c r="G309" t="s">
        <v>539</v>
      </c>
      <c r="H309" t="s">
        <v>1694</v>
      </c>
      <c r="I309" t="s">
        <v>748</v>
      </c>
      <c r="J309" t="s">
        <v>542</v>
      </c>
      <c r="K309">
        <v>6785.94</v>
      </c>
      <c r="L309">
        <v>400</v>
      </c>
      <c r="M309" t="s">
        <v>543</v>
      </c>
      <c r="N309" t="s">
        <v>544</v>
      </c>
      <c r="O309">
        <v>133.86000000000001</v>
      </c>
      <c r="P309">
        <v>7185.94</v>
      </c>
      <c r="R309" t="s">
        <v>1695</v>
      </c>
      <c r="S309">
        <v>1</v>
      </c>
      <c r="T309" t="s">
        <v>1696</v>
      </c>
      <c r="U309" t="s">
        <v>547</v>
      </c>
      <c r="V309">
        <v>3787.5</v>
      </c>
      <c r="W309">
        <v>3787.5</v>
      </c>
      <c r="Z309" t="s">
        <v>1697</v>
      </c>
      <c r="AA309" t="s">
        <v>549</v>
      </c>
      <c r="AB309" t="s">
        <v>748</v>
      </c>
      <c r="AC309" t="s">
        <v>550</v>
      </c>
      <c r="AD309" t="s">
        <v>551</v>
      </c>
      <c r="AE309" t="s">
        <v>301</v>
      </c>
      <c r="AF309" t="s">
        <v>1698</v>
      </c>
      <c r="AG309" t="s">
        <v>1699</v>
      </c>
      <c r="AI309" t="s">
        <v>577</v>
      </c>
      <c r="AJ309" t="s">
        <v>1700</v>
      </c>
      <c r="AK309" t="s">
        <v>556</v>
      </c>
      <c r="AM309" t="s">
        <v>1701</v>
      </c>
      <c r="AN309" t="s">
        <v>558</v>
      </c>
      <c r="AO309" t="s">
        <v>302</v>
      </c>
      <c r="AP309" t="s">
        <v>549</v>
      </c>
      <c r="AQ309" t="s">
        <v>549</v>
      </c>
      <c r="AR309" t="s">
        <v>1702</v>
      </c>
      <c r="AS309" t="s">
        <v>301</v>
      </c>
      <c r="AT309" t="s">
        <v>1698</v>
      </c>
      <c r="AU309" t="s">
        <v>1699</v>
      </c>
      <c r="AW309" t="s">
        <v>577</v>
      </c>
      <c r="AX309" t="s">
        <v>1700</v>
      </c>
      <c r="AY309" t="s">
        <v>556</v>
      </c>
      <c r="BA309" t="s">
        <v>1701</v>
      </c>
      <c r="BB309" t="s">
        <v>558</v>
      </c>
      <c r="BC309" t="s">
        <v>302</v>
      </c>
      <c r="BD309" t="s">
        <v>1702</v>
      </c>
      <c r="BH309" t="s">
        <v>560</v>
      </c>
      <c r="BI309" t="s">
        <v>561</v>
      </c>
      <c r="BK309" t="s">
        <v>607</v>
      </c>
      <c r="BL309" t="s">
        <v>562</v>
      </c>
      <c r="BM309" t="s">
        <v>1703</v>
      </c>
      <c r="BN309">
        <v>1</v>
      </c>
      <c r="BO309">
        <v>67.19</v>
      </c>
      <c r="BP309">
        <v>20</v>
      </c>
      <c r="BQ309">
        <v>66.67</v>
      </c>
      <c r="BR309" t="s">
        <v>549</v>
      </c>
    </row>
    <row r="310" spans="1:70">
      <c r="A310" t="s">
        <v>1691</v>
      </c>
      <c r="B310" t="s">
        <v>301</v>
      </c>
      <c r="C310" t="s">
        <v>1692</v>
      </c>
      <c r="D310" t="s">
        <v>1693</v>
      </c>
      <c r="E310" t="s">
        <v>303</v>
      </c>
      <c r="F310">
        <v>1</v>
      </c>
      <c r="H310" t="s">
        <v>1694</v>
      </c>
      <c r="R310" t="s">
        <v>1695</v>
      </c>
      <c r="S310">
        <v>1</v>
      </c>
      <c r="T310" t="s">
        <v>1260</v>
      </c>
      <c r="U310" t="s">
        <v>547</v>
      </c>
      <c r="V310">
        <v>2272.5</v>
      </c>
      <c r="W310">
        <v>2272.5</v>
      </c>
      <c r="Z310" t="s">
        <v>1261</v>
      </c>
      <c r="AA310" t="s">
        <v>549</v>
      </c>
      <c r="AB310" t="s">
        <v>748</v>
      </c>
      <c r="AC310" t="s">
        <v>550</v>
      </c>
      <c r="AD310" t="s">
        <v>551</v>
      </c>
      <c r="BR310" t="s">
        <v>549</v>
      </c>
    </row>
    <row r="311" spans="1:70">
      <c r="A311" t="s">
        <v>1691</v>
      </c>
      <c r="B311" t="s">
        <v>301</v>
      </c>
      <c r="C311" t="s">
        <v>1692</v>
      </c>
      <c r="D311" t="s">
        <v>1693</v>
      </c>
      <c r="E311" t="s">
        <v>303</v>
      </c>
      <c r="F311">
        <v>1</v>
      </c>
      <c r="H311" t="s">
        <v>1694</v>
      </c>
      <c r="R311" t="s">
        <v>1695</v>
      </c>
      <c r="S311">
        <v>1</v>
      </c>
      <c r="T311" t="s">
        <v>818</v>
      </c>
      <c r="U311" t="s">
        <v>547</v>
      </c>
      <c r="V311">
        <v>725.94</v>
      </c>
      <c r="W311">
        <v>725.94</v>
      </c>
      <c r="Z311" t="s">
        <v>819</v>
      </c>
      <c r="AA311" t="s">
        <v>549</v>
      </c>
      <c r="AB311" t="s">
        <v>748</v>
      </c>
      <c r="AC311" t="s">
        <v>550</v>
      </c>
      <c r="AD311" t="s">
        <v>551</v>
      </c>
      <c r="BR311" t="s">
        <v>549</v>
      </c>
    </row>
    <row r="312" spans="1:70">
      <c r="A312" t="s">
        <v>1704</v>
      </c>
      <c r="B312" t="s">
        <v>225</v>
      </c>
      <c r="C312" t="s">
        <v>1705</v>
      </c>
      <c r="D312" t="s">
        <v>1706</v>
      </c>
      <c r="E312" t="s">
        <v>227</v>
      </c>
      <c r="F312">
        <v>1</v>
      </c>
      <c r="G312" t="s">
        <v>539</v>
      </c>
      <c r="H312" t="s">
        <v>1707</v>
      </c>
      <c r="I312" t="s">
        <v>748</v>
      </c>
      <c r="J312" t="s">
        <v>542</v>
      </c>
      <c r="K312">
        <v>32269.5</v>
      </c>
      <c r="L312">
        <v>0</v>
      </c>
      <c r="M312" t="s">
        <v>1708</v>
      </c>
      <c r="N312" t="s">
        <v>544</v>
      </c>
      <c r="O312">
        <v>287.55</v>
      </c>
      <c r="P312">
        <v>29042.560000000001</v>
      </c>
      <c r="Q312">
        <v>3226.94</v>
      </c>
      <c r="R312" t="s">
        <v>1709</v>
      </c>
      <c r="S312">
        <v>2</v>
      </c>
      <c r="T312" t="s">
        <v>719</v>
      </c>
      <c r="U312" t="s">
        <v>547</v>
      </c>
      <c r="V312">
        <v>2317.9499999999998</v>
      </c>
      <c r="W312">
        <v>2575.5</v>
      </c>
      <c r="Z312" t="s">
        <v>720</v>
      </c>
      <c r="AA312" t="s">
        <v>549</v>
      </c>
      <c r="AB312" t="s">
        <v>748</v>
      </c>
      <c r="AC312" t="s">
        <v>550</v>
      </c>
      <c r="AD312" t="s">
        <v>551</v>
      </c>
      <c r="AE312" t="s">
        <v>1710</v>
      </c>
      <c r="AF312" t="s">
        <v>1711</v>
      </c>
      <c r="AH312" t="s">
        <v>1712</v>
      </c>
      <c r="AI312" t="s">
        <v>1713</v>
      </c>
      <c r="AJ312" t="s">
        <v>1714</v>
      </c>
      <c r="AK312" t="s">
        <v>556</v>
      </c>
      <c r="AM312" t="s">
        <v>1715</v>
      </c>
      <c r="AN312" t="s">
        <v>558</v>
      </c>
      <c r="AO312" t="s">
        <v>226</v>
      </c>
      <c r="AP312" t="s">
        <v>1716</v>
      </c>
      <c r="AQ312" t="s">
        <v>1715</v>
      </c>
      <c r="AR312" t="s">
        <v>1717</v>
      </c>
      <c r="AS312" t="s">
        <v>1710</v>
      </c>
      <c r="AT312" t="s">
        <v>1718</v>
      </c>
      <c r="AV312" t="s">
        <v>1712</v>
      </c>
      <c r="AW312" t="s">
        <v>1713</v>
      </c>
      <c r="AY312" t="s">
        <v>556</v>
      </c>
      <c r="BA312" t="s">
        <v>1715</v>
      </c>
      <c r="BB312" t="s">
        <v>558</v>
      </c>
      <c r="BC312" t="s">
        <v>226</v>
      </c>
      <c r="BD312" t="s">
        <v>1717</v>
      </c>
      <c r="BH312" t="s">
        <v>560</v>
      </c>
      <c r="BI312" t="s">
        <v>561</v>
      </c>
      <c r="BK312" t="s">
        <v>607</v>
      </c>
      <c r="BL312" t="s">
        <v>562</v>
      </c>
      <c r="BM312" t="s">
        <v>1719</v>
      </c>
      <c r="BN312">
        <v>1</v>
      </c>
      <c r="BO312">
        <v>287.55</v>
      </c>
      <c r="BR312" t="s">
        <v>549</v>
      </c>
    </row>
    <row r="313" spans="1:70">
      <c r="A313" t="s">
        <v>1704</v>
      </c>
      <c r="B313" t="s">
        <v>225</v>
      </c>
      <c r="C313" t="s">
        <v>1705</v>
      </c>
      <c r="D313" t="s">
        <v>1706</v>
      </c>
      <c r="E313" t="s">
        <v>227</v>
      </c>
      <c r="F313">
        <v>1</v>
      </c>
      <c r="H313" t="s">
        <v>1707</v>
      </c>
      <c r="R313" t="s">
        <v>1709</v>
      </c>
      <c r="S313">
        <v>2</v>
      </c>
      <c r="T313" t="s">
        <v>1268</v>
      </c>
      <c r="U313" t="s">
        <v>547</v>
      </c>
      <c r="V313">
        <v>1636.2</v>
      </c>
      <c r="W313">
        <v>1818</v>
      </c>
      <c r="Z313" t="s">
        <v>1269</v>
      </c>
      <c r="AA313" t="s">
        <v>549</v>
      </c>
      <c r="AB313" t="s">
        <v>748</v>
      </c>
      <c r="AC313" t="s">
        <v>550</v>
      </c>
      <c r="AD313" t="s">
        <v>551</v>
      </c>
      <c r="BR313" t="s">
        <v>549</v>
      </c>
    </row>
    <row r="314" spans="1:70">
      <c r="A314" t="s">
        <v>1704</v>
      </c>
      <c r="B314" t="s">
        <v>225</v>
      </c>
      <c r="C314" t="s">
        <v>1705</v>
      </c>
      <c r="D314" t="s">
        <v>1706</v>
      </c>
      <c r="E314" t="s">
        <v>227</v>
      </c>
      <c r="F314">
        <v>1</v>
      </c>
      <c r="H314" t="s">
        <v>1707</v>
      </c>
      <c r="R314" t="s">
        <v>1709</v>
      </c>
      <c r="S314">
        <v>1</v>
      </c>
      <c r="T314" t="s">
        <v>799</v>
      </c>
      <c r="U314" t="s">
        <v>547</v>
      </c>
      <c r="V314">
        <v>2817.9</v>
      </c>
      <c r="W314">
        <v>3131</v>
      </c>
      <c r="Z314" t="s">
        <v>800</v>
      </c>
      <c r="AA314" t="s">
        <v>549</v>
      </c>
      <c r="AB314" t="s">
        <v>748</v>
      </c>
      <c r="AC314" t="s">
        <v>550</v>
      </c>
      <c r="AD314" t="s">
        <v>551</v>
      </c>
      <c r="BR314" t="s">
        <v>549</v>
      </c>
    </row>
    <row r="315" spans="1:70">
      <c r="A315" t="s">
        <v>1704</v>
      </c>
      <c r="B315" t="s">
        <v>225</v>
      </c>
      <c r="C315" t="s">
        <v>1705</v>
      </c>
      <c r="D315" t="s">
        <v>1706</v>
      </c>
      <c r="E315" t="s">
        <v>227</v>
      </c>
      <c r="F315">
        <v>1</v>
      </c>
      <c r="H315" t="s">
        <v>1707</v>
      </c>
      <c r="R315" t="s">
        <v>1709</v>
      </c>
      <c r="S315">
        <v>1</v>
      </c>
      <c r="T315" t="s">
        <v>1359</v>
      </c>
      <c r="U315" t="s">
        <v>547</v>
      </c>
      <c r="V315">
        <v>795.38</v>
      </c>
      <c r="W315">
        <v>883.75</v>
      </c>
      <c r="Z315" t="s">
        <v>1360</v>
      </c>
      <c r="AA315" t="s">
        <v>549</v>
      </c>
      <c r="AB315" t="s">
        <v>748</v>
      </c>
      <c r="AC315" t="s">
        <v>550</v>
      </c>
      <c r="AD315" t="s">
        <v>551</v>
      </c>
      <c r="BR315" t="s">
        <v>549</v>
      </c>
    </row>
    <row r="316" spans="1:70">
      <c r="A316" t="s">
        <v>1704</v>
      </c>
      <c r="B316" t="s">
        <v>225</v>
      </c>
      <c r="C316" t="s">
        <v>1705</v>
      </c>
      <c r="D316" t="s">
        <v>1706</v>
      </c>
      <c r="E316" t="s">
        <v>227</v>
      </c>
      <c r="F316">
        <v>1</v>
      </c>
      <c r="H316" t="s">
        <v>1707</v>
      </c>
      <c r="R316" t="s">
        <v>1709</v>
      </c>
      <c r="S316">
        <v>1</v>
      </c>
      <c r="T316" t="s">
        <v>630</v>
      </c>
      <c r="U316" t="s">
        <v>547</v>
      </c>
      <c r="V316">
        <v>3749.63</v>
      </c>
      <c r="W316">
        <v>4166.25</v>
      </c>
      <c r="Z316" t="s">
        <v>631</v>
      </c>
      <c r="AA316" t="s">
        <v>549</v>
      </c>
      <c r="AB316" t="s">
        <v>748</v>
      </c>
      <c r="AC316" t="s">
        <v>550</v>
      </c>
      <c r="AD316" t="s">
        <v>551</v>
      </c>
      <c r="BR316" t="s">
        <v>549</v>
      </c>
    </row>
    <row r="317" spans="1:70">
      <c r="A317" t="s">
        <v>1704</v>
      </c>
      <c r="B317" t="s">
        <v>225</v>
      </c>
      <c r="C317" t="s">
        <v>1705</v>
      </c>
      <c r="D317" t="s">
        <v>1706</v>
      </c>
      <c r="E317" t="s">
        <v>227</v>
      </c>
      <c r="F317">
        <v>1</v>
      </c>
      <c r="H317" t="s">
        <v>1707</v>
      </c>
      <c r="R317" t="s">
        <v>1709</v>
      </c>
      <c r="S317">
        <v>2</v>
      </c>
      <c r="T317" t="s">
        <v>632</v>
      </c>
      <c r="U317" t="s">
        <v>547</v>
      </c>
      <c r="V317">
        <v>2181.6</v>
      </c>
      <c r="W317">
        <v>2424</v>
      </c>
      <c r="Z317" t="s">
        <v>633</v>
      </c>
      <c r="AA317" t="s">
        <v>549</v>
      </c>
      <c r="AB317" t="s">
        <v>748</v>
      </c>
      <c r="AC317" t="s">
        <v>550</v>
      </c>
      <c r="AD317" t="s">
        <v>551</v>
      </c>
      <c r="BR317" t="s">
        <v>549</v>
      </c>
    </row>
    <row r="318" spans="1:70">
      <c r="A318" t="s">
        <v>1704</v>
      </c>
      <c r="B318" t="s">
        <v>225</v>
      </c>
      <c r="C318" t="s">
        <v>1705</v>
      </c>
      <c r="D318" t="s">
        <v>1706</v>
      </c>
      <c r="E318" t="s">
        <v>227</v>
      </c>
      <c r="F318">
        <v>1</v>
      </c>
      <c r="H318" t="s">
        <v>1707</v>
      </c>
      <c r="R318" t="s">
        <v>1709</v>
      </c>
      <c r="S318">
        <v>2</v>
      </c>
      <c r="T318" t="s">
        <v>546</v>
      </c>
      <c r="U318" t="s">
        <v>547</v>
      </c>
      <c r="V318">
        <v>4090.5</v>
      </c>
      <c r="W318">
        <v>4545</v>
      </c>
      <c r="Z318" t="s">
        <v>548</v>
      </c>
      <c r="AA318" t="s">
        <v>549</v>
      </c>
      <c r="AB318" t="s">
        <v>748</v>
      </c>
      <c r="AC318" t="s">
        <v>550</v>
      </c>
      <c r="AD318" t="s">
        <v>551</v>
      </c>
      <c r="BR318" t="s">
        <v>549</v>
      </c>
    </row>
    <row r="319" spans="1:70">
      <c r="A319" t="s">
        <v>1704</v>
      </c>
      <c r="B319" t="s">
        <v>225</v>
      </c>
      <c r="C319" t="s">
        <v>1705</v>
      </c>
      <c r="D319" t="s">
        <v>1706</v>
      </c>
      <c r="E319" t="s">
        <v>227</v>
      </c>
      <c r="F319">
        <v>1</v>
      </c>
      <c r="H319" t="s">
        <v>1707</v>
      </c>
      <c r="R319" t="s">
        <v>1709</v>
      </c>
      <c r="S319">
        <v>1</v>
      </c>
      <c r="T319" t="s">
        <v>1720</v>
      </c>
      <c r="U319" t="s">
        <v>547</v>
      </c>
      <c r="V319">
        <v>1227.1500000000001</v>
      </c>
      <c r="W319">
        <v>1363.5</v>
      </c>
      <c r="Z319" t="s">
        <v>1721</v>
      </c>
      <c r="AA319" t="s">
        <v>549</v>
      </c>
      <c r="AB319" t="s">
        <v>748</v>
      </c>
      <c r="AC319" t="s">
        <v>550</v>
      </c>
      <c r="AD319" t="s">
        <v>551</v>
      </c>
      <c r="BR319" t="s">
        <v>549</v>
      </c>
    </row>
    <row r="320" spans="1:70">
      <c r="A320" t="s">
        <v>1722</v>
      </c>
      <c r="B320" t="s">
        <v>283</v>
      </c>
      <c r="C320" t="s">
        <v>1723</v>
      </c>
      <c r="D320" t="s">
        <v>1724</v>
      </c>
      <c r="E320" t="s">
        <v>285</v>
      </c>
      <c r="F320">
        <v>1</v>
      </c>
      <c r="G320" t="s">
        <v>539</v>
      </c>
      <c r="H320" t="s">
        <v>1725</v>
      </c>
      <c r="I320" t="s">
        <v>748</v>
      </c>
      <c r="J320" t="s">
        <v>542</v>
      </c>
      <c r="K320">
        <v>2398.75</v>
      </c>
      <c r="L320">
        <v>400</v>
      </c>
      <c r="M320" t="s">
        <v>570</v>
      </c>
      <c r="N320" t="s">
        <v>544</v>
      </c>
      <c r="O320">
        <v>90.42</v>
      </c>
      <c r="P320">
        <v>2798.75</v>
      </c>
      <c r="R320" t="s">
        <v>1726</v>
      </c>
      <c r="S320">
        <v>1</v>
      </c>
      <c r="T320" t="s">
        <v>953</v>
      </c>
      <c r="U320" t="s">
        <v>547</v>
      </c>
      <c r="V320">
        <v>2398.75</v>
      </c>
      <c r="W320">
        <v>2398.75</v>
      </c>
      <c r="Z320" t="s">
        <v>954</v>
      </c>
      <c r="AA320" t="s">
        <v>549</v>
      </c>
      <c r="AB320" t="s">
        <v>748</v>
      </c>
      <c r="AC320" t="s">
        <v>550</v>
      </c>
      <c r="AD320" t="s">
        <v>551</v>
      </c>
      <c r="AE320" t="s">
        <v>283</v>
      </c>
      <c r="AF320" t="s">
        <v>1727</v>
      </c>
      <c r="AG320" t="s">
        <v>1728</v>
      </c>
      <c r="AI320" t="s">
        <v>577</v>
      </c>
      <c r="AJ320" t="s">
        <v>1729</v>
      </c>
      <c r="AK320" t="s">
        <v>556</v>
      </c>
      <c r="AM320" t="s">
        <v>1701</v>
      </c>
      <c r="AN320" t="s">
        <v>558</v>
      </c>
      <c r="AO320" t="s">
        <v>284</v>
      </c>
      <c r="AP320" t="s">
        <v>549</v>
      </c>
      <c r="AQ320" t="s">
        <v>549</v>
      </c>
      <c r="AR320" t="s">
        <v>1730</v>
      </c>
      <c r="AS320" t="s">
        <v>283</v>
      </c>
      <c r="AT320" t="s">
        <v>1727</v>
      </c>
      <c r="AU320" t="s">
        <v>1728</v>
      </c>
      <c r="AW320" t="s">
        <v>577</v>
      </c>
      <c r="AX320" t="s">
        <v>1729</v>
      </c>
      <c r="AY320" t="s">
        <v>556</v>
      </c>
      <c r="BA320" t="s">
        <v>1701</v>
      </c>
      <c r="BB320" t="s">
        <v>558</v>
      </c>
      <c r="BC320" t="s">
        <v>284</v>
      </c>
      <c r="BD320" t="s">
        <v>1730</v>
      </c>
      <c r="BH320" t="s">
        <v>560</v>
      </c>
      <c r="BI320" t="s">
        <v>561</v>
      </c>
      <c r="BK320" t="s">
        <v>607</v>
      </c>
      <c r="BL320" t="s">
        <v>562</v>
      </c>
      <c r="BM320" t="s">
        <v>1731</v>
      </c>
      <c r="BN320">
        <v>1</v>
      </c>
      <c r="BO320">
        <v>23.75</v>
      </c>
      <c r="BP320">
        <v>20</v>
      </c>
      <c r="BQ320">
        <v>66.67</v>
      </c>
      <c r="BR320" t="s">
        <v>549</v>
      </c>
    </row>
    <row r="321" spans="1:70">
      <c r="A321" t="s">
        <v>1732</v>
      </c>
      <c r="B321" t="s">
        <v>1733</v>
      </c>
      <c r="C321" t="s">
        <v>1734</v>
      </c>
      <c r="D321" t="s">
        <v>1735</v>
      </c>
      <c r="E321" t="s">
        <v>236</v>
      </c>
      <c r="F321">
        <v>1</v>
      </c>
      <c r="G321" t="s">
        <v>539</v>
      </c>
      <c r="H321" t="s">
        <v>1736</v>
      </c>
      <c r="I321" t="s">
        <v>748</v>
      </c>
      <c r="J321" t="s">
        <v>542</v>
      </c>
      <c r="K321">
        <v>23671.95</v>
      </c>
      <c r="L321">
        <v>0</v>
      </c>
      <c r="M321" t="s">
        <v>1708</v>
      </c>
      <c r="N321" t="s">
        <v>544</v>
      </c>
      <c r="O321">
        <v>210.94</v>
      </c>
      <c r="P321">
        <v>21304.799999999999</v>
      </c>
      <c r="Q321">
        <v>2367.15</v>
      </c>
      <c r="R321" t="s">
        <v>1737</v>
      </c>
      <c r="S321">
        <v>15</v>
      </c>
      <c r="T321" t="s">
        <v>921</v>
      </c>
      <c r="U321" t="s">
        <v>547</v>
      </c>
      <c r="V321">
        <v>1420.32</v>
      </c>
      <c r="W321">
        <v>1578.13</v>
      </c>
      <c r="Z321" t="s">
        <v>922</v>
      </c>
      <c r="AA321" t="s">
        <v>549</v>
      </c>
      <c r="AB321" t="s">
        <v>748</v>
      </c>
      <c r="AC321" t="s">
        <v>550</v>
      </c>
      <c r="AD321" t="s">
        <v>551</v>
      </c>
      <c r="AE321" t="s">
        <v>1733</v>
      </c>
      <c r="AF321" t="s">
        <v>1738</v>
      </c>
      <c r="AG321" t="s">
        <v>1739</v>
      </c>
      <c r="AH321" t="s">
        <v>1740</v>
      </c>
      <c r="AI321" t="s">
        <v>577</v>
      </c>
      <c r="AJ321" t="s">
        <v>1741</v>
      </c>
      <c r="AK321" t="s">
        <v>556</v>
      </c>
      <c r="AM321" t="s">
        <v>1742</v>
      </c>
      <c r="AN321" t="s">
        <v>558</v>
      </c>
      <c r="AO321" t="s">
        <v>235</v>
      </c>
      <c r="AP321" t="s">
        <v>1743</v>
      </c>
      <c r="AQ321" t="s">
        <v>1744</v>
      </c>
      <c r="AR321" t="s">
        <v>1745</v>
      </c>
      <c r="AS321" t="s">
        <v>1733</v>
      </c>
      <c r="AT321" t="s">
        <v>1738</v>
      </c>
      <c r="AU321" t="s">
        <v>1739</v>
      </c>
      <c r="AV321" t="s">
        <v>1740</v>
      </c>
      <c r="AW321" t="s">
        <v>577</v>
      </c>
      <c r="AX321" t="s">
        <v>1741</v>
      </c>
      <c r="AY321" t="s">
        <v>556</v>
      </c>
      <c r="BA321" t="s">
        <v>1742</v>
      </c>
      <c r="BB321" t="s">
        <v>558</v>
      </c>
      <c r="BC321" t="s">
        <v>235</v>
      </c>
      <c r="BD321" t="s">
        <v>1745</v>
      </c>
      <c r="BH321" t="s">
        <v>560</v>
      </c>
      <c r="BI321" t="s">
        <v>561</v>
      </c>
      <c r="BK321" t="s">
        <v>607</v>
      </c>
      <c r="BL321" t="s">
        <v>562</v>
      </c>
      <c r="BM321" t="s">
        <v>1746</v>
      </c>
      <c r="BN321">
        <v>1</v>
      </c>
      <c r="BO321">
        <v>210.94</v>
      </c>
      <c r="BR321" t="s">
        <v>549</v>
      </c>
    </row>
    <row r="322" spans="1:70">
      <c r="A322" t="s">
        <v>1747</v>
      </c>
      <c r="B322" t="s">
        <v>295</v>
      </c>
      <c r="C322" t="s">
        <v>1748</v>
      </c>
      <c r="D322" t="s">
        <v>1749</v>
      </c>
      <c r="E322" t="s">
        <v>297</v>
      </c>
      <c r="F322">
        <v>1</v>
      </c>
      <c r="G322" t="s">
        <v>539</v>
      </c>
      <c r="H322" t="s">
        <v>1750</v>
      </c>
      <c r="I322" t="s">
        <v>748</v>
      </c>
      <c r="J322" t="s">
        <v>542</v>
      </c>
      <c r="K322">
        <v>6344.07</v>
      </c>
      <c r="L322">
        <v>400</v>
      </c>
      <c r="M322" t="s">
        <v>570</v>
      </c>
      <c r="N322" t="s">
        <v>544</v>
      </c>
      <c r="O322">
        <v>129.47999999999999</v>
      </c>
      <c r="P322">
        <v>6744.07</v>
      </c>
      <c r="R322" t="s">
        <v>1751</v>
      </c>
      <c r="S322">
        <v>1</v>
      </c>
      <c r="T322" t="s">
        <v>921</v>
      </c>
      <c r="U322" t="s">
        <v>547</v>
      </c>
      <c r="V322">
        <v>1483.44</v>
      </c>
      <c r="W322">
        <v>1483.44</v>
      </c>
      <c r="Z322" t="s">
        <v>922</v>
      </c>
      <c r="AA322" t="s">
        <v>549</v>
      </c>
      <c r="AB322" t="s">
        <v>748</v>
      </c>
      <c r="AC322" t="s">
        <v>550</v>
      </c>
      <c r="AD322" t="s">
        <v>551</v>
      </c>
      <c r="AE322" t="s">
        <v>295</v>
      </c>
      <c r="AF322" t="s">
        <v>1752</v>
      </c>
      <c r="AG322" t="s">
        <v>1753</v>
      </c>
      <c r="AI322" t="s">
        <v>1754</v>
      </c>
      <c r="AJ322" t="s">
        <v>1755</v>
      </c>
      <c r="AK322" t="s">
        <v>556</v>
      </c>
      <c r="AM322" t="s">
        <v>1756</v>
      </c>
      <c r="AN322" t="s">
        <v>558</v>
      </c>
      <c r="AO322" t="s">
        <v>296</v>
      </c>
      <c r="AP322" t="s">
        <v>549</v>
      </c>
      <c r="AQ322" t="s">
        <v>549</v>
      </c>
      <c r="AR322" t="s">
        <v>1757</v>
      </c>
      <c r="AS322" t="s">
        <v>295</v>
      </c>
      <c r="AT322" t="s">
        <v>1752</v>
      </c>
      <c r="AU322" t="s">
        <v>1753</v>
      </c>
      <c r="AW322" t="s">
        <v>1754</v>
      </c>
      <c r="AX322" t="s">
        <v>1755</v>
      </c>
      <c r="AY322" t="s">
        <v>556</v>
      </c>
      <c r="BA322" t="s">
        <v>1756</v>
      </c>
      <c r="BB322" t="s">
        <v>558</v>
      </c>
      <c r="BC322" t="s">
        <v>296</v>
      </c>
      <c r="BD322" t="s">
        <v>1757</v>
      </c>
      <c r="BH322" t="s">
        <v>560</v>
      </c>
      <c r="BI322" t="s">
        <v>561</v>
      </c>
      <c r="BK322" t="s">
        <v>607</v>
      </c>
      <c r="BL322" t="s">
        <v>562</v>
      </c>
      <c r="BM322" t="s">
        <v>1758</v>
      </c>
      <c r="BN322">
        <v>1</v>
      </c>
      <c r="BO322">
        <v>62.81</v>
      </c>
      <c r="BP322">
        <v>20</v>
      </c>
      <c r="BQ322">
        <v>66.67</v>
      </c>
      <c r="BR322" t="s">
        <v>549</v>
      </c>
    </row>
    <row r="323" spans="1:70">
      <c r="A323" t="s">
        <v>1747</v>
      </c>
      <c r="B323" t="s">
        <v>295</v>
      </c>
      <c r="C323" t="s">
        <v>1748</v>
      </c>
      <c r="D323" t="s">
        <v>1749</v>
      </c>
      <c r="E323" t="s">
        <v>297</v>
      </c>
      <c r="F323">
        <v>1</v>
      </c>
      <c r="H323" t="s">
        <v>1750</v>
      </c>
      <c r="R323" t="s">
        <v>1751</v>
      </c>
      <c r="S323">
        <v>1</v>
      </c>
      <c r="T323" t="s">
        <v>564</v>
      </c>
      <c r="U323" t="s">
        <v>547</v>
      </c>
      <c r="V323">
        <v>2335.63</v>
      </c>
      <c r="W323">
        <v>2335.63</v>
      </c>
      <c r="Z323" t="s">
        <v>565</v>
      </c>
      <c r="AA323" t="s">
        <v>549</v>
      </c>
      <c r="AB323" t="s">
        <v>748</v>
      </c>
      <c r="AC323" t="s">
        <v>550</v>
      </c>
      <c r="AD323" t="s">
        <v>551</v>
      </c>
      <c r="BR323" t="s">
        <v>549</v>
      </c>
    </row>
    <row r="324" spans="1:70">
      <c r="A324" t="s">
        <v>1747</v>
      </c>
      <c r="B324" t="s">
        <v>295</v>
      </c>
      <c r="C324" t="s">
        <v>1748</v>
      </c>
      <c r="D324" t="s">
        <v>1749</v>
      </c>
      <c r="E324" t="s">
        <v>297</v>
      </c>
      <c r="F324">
        <v>1</v>
      </c>
      <c r="H324" t="s">
        <v>1750</v>
      </c>
      <c r="R324" t="s">
        <v>1751</v>
      </c>
      <c r="S324">
        <v>1</v>
      </c>
      <c r="T324" t="s">
        <v>1033</v>
      </c>
      <c r="U324" t="s">
        <v>547</v>
      </c>
      <c r="V324">
        <v>2525</v>
      </c>
      <c r="W324">
        <v>2525</v>
      </c>
      <c r="Z324" t="s">
        <v>1034</v>
      </c>
      <c r="AA324" t="s">
        <v>549</v>
      </c>
      <c r="AB324" t="s">
        <v>748</v>
      </c>
      <c r="AC324" t="s">
        <v>550</v>
      </c>
      <c r="AD324" t="s">
        <v>551</v>
      </c>
      <c r="BR324" t="s">
        <v>549</v>
      </c>
    </row>
    <row r="325" spans="1:70">
      <c r="A325" t="s">
        <v>1759</v>
      </c>
      <c r="B325" t="s">
        <v>277</v>
      </c>
      <c r="C325" t="s">
        <v>1760</v>
      </c>
      <c r="D325" t="s">
        <v>1761</v>
      </c>
      <c r="E325" t="s">
        <v>279</v>
      </c>
      <c r="F325">
        <v>1</v>
      </c>
      <c r="G325" t="s">
        <v>539</v>
      </c>
      <c r="H325" t="s">
        <v>1762</v>
      </c>
      <c r="I325" t="s">
        <v>748</v>
      </c>
      <c r="J325" t="s">
        <v>542</v>
      </c>
      <c r="K325">
        <v>1893.75</v>
      </c>
      <c r="L325">
        <v>400</v>
      </c>
      <c r="M325" t="s">
        <v>570</v>
      </c>
      <c r="N325" t="s">
        <v>544</v>
      </c>
      <c r="O325">
        <v>85.42</v>
      </c>
      <c r="P325">
        <v>2293.75</v>
      </c>
      <c r="R325" t="s">
        <v>1763</v>
      </c>
      <c r="S325">
        <v>1</v>
      </c>
      <c r="T325" t="s">
        <v>616</v>
      </c>
      <c r="U325" t="s">
        <v>547</v>
      </c>
      <c r="V325">
        <v>1893.75</v>
      </c>
      <c r="W325">
        <v>1893.75</v>
      </c>
      <c r="Z325" t="s">
        <v>617</v>
      </c>
      <c r="AA325" t="s">
        <v>549</v>
      </c>
      <c r="AB325" t="s">
        <v>748</v>
      </c>
      <c r="AC325" t="s">
        <v>550</v>
      </c>
      <c r="AD325" t="s">
        <v>551</v>
      </c>
      <c r="AE325" t="s">
        <v>277</v>
      </c>
      <c r="AF325" t="s">
        <v>1764</v>
      </c>
      <c r="AG325" t="s">
        <v>1765</v>
      </c>
      <c r="AI325" t="s">
        <v>577</v>
      </c>
      <c r="AJ325" t="s">
        <v>1766</v>
      </c>
      <c r="AK325" t="s">
        <v>556</v>
      </c>
      <c r="AM325" t="s">
        <v>1767</v>
      </c>
      <c r="AN325" t="s">
        <v>558</v>
      </c>
      <c r="AO325" t="s">
        <v>278</v>
      </c>
      <c r="AP325" t="s">
        <v>549</v>
      </c>
      <c r="AQ325" t="s">
        <v>549</v>
      </c>
      <c r="AR325" t="s">
        <v>1768</v>
      </c>
      <c r="AS325" t="s">
        <v>277</v>
      </c>
      <c r="AT325" t="s">
        <v>1764</v>
      </c>
      <c r="AU325" t="s">
        <v>1765</v>
      </c>
      <c r="AW325" t="s">
        <v>577</v>
      </c>
      <c r="AX325" t="s">
        <v>1766</v>
      </c>
      <c r="AY325" t="s">
        <v>556</v>
      </c>
      <c r="BA325" t="s">
        <v>1767</v>
      </c>
      <c r="BB325" t="s">
        <v>558</v>
      </c>
      <c r="BC325" t="s">
        <v>278</v>
      </c>
      <c r="BD325" t="s">
        <v>1768</v>
      </c>
      <c r="BH325" t="s">
        <v>560</v>
      </c>
      <c r="BI325" t="s">
        <v>561</v>
      </c>
      <c r="BK325" t="s">
        <v>607</v>
      </c>
      <c r="BL325" t="s">
        <v>562</v>
      </c>
      <c r="BM325" t="s">
        <v>1769</v>
      </c>
      <c r="BN325">
        <v>1</v>
      </c>
      <c r="BO325">
        <v>18.75</v>
      </c>
      <c r="BP325">
        <v>20</v>
      </c>
      <c r="BQ325">
        <v>66.67</v>
      </c>
      <c r="BR325" t="s">
        <v>549</v>
      </c>
    </row>
    <row r="326" spans="1:70">
      <c r="A326" t="s">
        <v>1770</v>
      </c>
      <c r="B326" t="s">
        <v>43</v>
      </c>
      <c r="C326" t="s">
        <v>537</v>
      </c>
      <c r="D326" t="s">
        <v>538</v>
      </c>
      <c r="E326" t="s">
        <v>45</v>
      </c>
      <c r="F326">
        <v>2</v>
      </c>
      <c r="G326" t="s">
        <v>539</v>
      </c>
      <c r="H326" t="s">
        <v>1771</v>
      </c>
      <c r="I326" t="s">
        <v>748</v>
      </c>
      <c r="J326" t="s">
        <v>542</v>
      </c>
      <c r="K326">
        <v>3014.85</v>
      </c>
      <c r="L326">
        <v>400</v>
      </c>
      <c r="M326" t="s">
        <v>570</v>
      </c>
      <c r="N326" t="s">
        <v>544</v>
      </c>
      <c r="O326">
        <v>96.52</v>
      </c>
      <c r="P326">
        <v>3414.85</v>
      </c>
      <c r="R326" t="s">
        <v>1772</v>
      </c>
      <c r="S326">
        <v>1</v>
      </c>
      <c r="T326" t="s">
        <v>632</v>
      </c>
      <c r="U326" t="s">
        <v>547</v>
      </c>
      <c r="V326">
        <v>1802.85</v>
      </c>
      <c r="W326">
        <v>2121</v>
      </c>
      <c r="X326">
        <v>1802.85</v>
      </c>
      <c r="Z326" t="s">
        <v>633</v>
      </c>
      <c r="AA326" t="s">
        <v>549</v>
      </c>
      <c r="AB326" t="s">
        <v>748</v>
      </c>
      <c r="AC326" t="s">
        <v>550</v>
      </c>
      <c r="AD326" t="s">
        <v>551</v>
      </c>
      <c r="AE326" t="s">
        <v>43</v>
      </c>
      <c r="AF326" t="s">
        <v>552</v>
      </c>
      <c r="AG326" t="s">
        <v>553</v>
      </c>
      <c r="AI326" t="s">
        <v>554</v>
      </c>
      <c r="AJ326" t="s">
        <v>555</v>
      </c>
      <c r="AK326" t="s">
        <v>556</v>
      </c>
      <c r="AM326" t="s">
        <v>557</v>
      </c>
      <c r="AN326" t="s">
        <v>558</v>
      </c>
      <c r="AO326" t="s">
        <v>44</v>
      </c>
      <c r="AP326" t="s">
        <v>549</v>
      </c>
      <c r="AQ326" t="s">
        <v>549</v>
      </c>
      <c r="AR326" t="s">
        <v>559</v>
      </c>
      <c r="AS326" t="s">
        <v>43</v>
      </c>
      <c r="AT326" t="s">
        <v>552</v>
      </c>
      <c r="AU326" t="s">
        <v>553</v>
      </c>
      <c r="AW326" t="s">
        <v>554</v>
      </c>
      <c r="AX326" t="s">
        <v>555</v>
      </c>
      <c r="AY326" t="s">
        <v>556</v>
      </c>
      <c r="BA326" t="s">
        <v>557</v>
      </c>
      <c r="BB326" t="s">
        <v>558</v>
      </c>
      <c r="BC326" t="s">
        <v>44</v>
      </c>
      <c r="BD326" t="s">
        <v>559</v>
      </c>
      <c r="BH326" t="s">
        <v>560</v>
      </c>
      <c r="BI326" t="s">
        <v>561</v>
      </c>
      <c r="BK326" t="s">
        <v>607</v>
      </c>
      <c r="BL326" t="s">
        <v>562</v>
      </c>
      <c r="BM326" t="s">
        <v>1773</v>
      </c>
      <c r="BN326">
        <v>1</v>
      </c>
      <c r="BO326">
        <v>29.85</v>
      </c>
      <c r="BP326">
        <v>20</v>
      </c>
      <c r="BQ326">
        <v>66.67</v>
      </c>
      <c r="BR326" t="s">
        <v>549</v>
      </c>
    </row>
    <row r="327" spans="1:70">
      <c r="A327" t="s">
        <v>1770</v>
      </c>
      <c r="B327" t="s">
        <v>43</v>
      </c>
      <c r="C327" t="s">
        <v>537</v>
      </c>
      <c r="D327" t="s">
        <v>538</v>
      </c>
      <c r="E327" t="s">
        <v>45</v>
      </c>
      <c r="F327">
        <v>2</v>
      </c>
      <c r="H327" t="s">
        <v>1771</v>
      </c>
      <c r="R327" t="s">
        <v>1772</v>
      </c>
      <c r="S327">
        <v>1</v>
      </c>
      <c r="T327" t="s">
        <v>1720</v>
      </c>
      <c r="U327" t="s">
        <v>547</v>
      </c>
      <c r="V327">
        <v>1212</v>
      </c>
      <c r="W327">
        <v>1212</v>
      </c>
      <c r="Z327" t="s">
        <v>1721</v>
      </c>
      <c r="AA327" t="s">
        <v>549</v>
      </c>
      <c r="AB327" t="s">
        <v>748</v>
      </c>
      <c r="AC327" t="s">
        <v>550</v>
      </c>
      <c r="AD327" t="s">
        <v>551</v>
      </c>
      <c r="BR327" t="s">
        <v>549</v>
      </c>
    </row>
    <row r="328" spans="1:70">
      <c r="A328" t="s">
        <v>1774</v>
      </c>
      <c r="B328" t="s">
        <v>120</v>
      </c>
      <c r="C328" t="s">
        <v>1541</v>
      </c>
      <c r="D328" t="s">
        <v>1542</v>
      </c>
      <c r="E328" t="s">
        <v>122</v>
      </c>
      <c r="F328">
        <v>2</v>
      </c>
      <c r="G328" t="s">
        <v>539</v>
      </c>
      <c r="H328" t="s">
        <v>1775</v>
      </c>
      <c r="I328" t="s">
        <v>748</v>
      </c>
      <c r="J328" t="s">
        <v>542</v>
      </c>
      <c r="K328">
        <v>13066.89</v>
      </c>
      <c r="L328">
        <v>200</v>
      </c>
      <c r="M328" t="s">
        <v>543</v>
      </c>
      <c r="N328" t="s">
        <v>544</v>
      </c>
      <c r="O328">
        <v>156.24</v>
      </c>
      <c r="P328">
        <v>12613.55</v>
      </c>
      <c r="Q328">
        <v>653.34</v>
      </c>
      <c r="R328" t="s">
        <v>1776</v>
      </c>
      <c r="S328">
        <v>3</v>
      </c>
      <c r="T328" t="s">
        <v>704</v>
      </c>
      <c r="U328" t="s">
        <v>547</v>
      </c>
      <c r="V328">
        <v>2338.79</v>
      </c>
      <c r="W328">
        <v>2461.88</v>
      </c>
      <c r="Z328" t="s">
        <v>705</v>
      </c>
      <c r="AA328" t="s">
        <v>549</v>
      </c>
      <c r="AB328" t="s">
        <v>748</v>
      </c>
      <c r="AC328" t="s">
        <v>550</v>
      </c>
      <c r="AD328" t="s">
        <v>551</v>
      </c>
      <c r="AE328" t="s">
        <v>1545</v>
      </c>
      <c r="AF328" t="s">
        <v>1546</v>
      </c>
      <c r="AI328" t="s">
        <v>601</v>
      </c>
      <c r="AJ328" t="s">
        <v>1547</v>
      </c>
      <c r="AK328" t="s">
        <v>556</v>
      </c>
      <c r="AM328" t="s">
        <v>1548</v>
      </c>
      <c r="AN328" t="s">
        <v>558</v>
      </c>
      <c r="AO328" t="s">
        <v>121</v>
      </c>
      <c r="AP328" t="s">
        <v>549</v>
      </c>
      <c r="AQ328" t="s">
        <v>549</v>
      </c>
      <c r="AR328" t="s">
        <v>1549</v>
      </c>
      <c r="AS328" t="s">
        <v>1545</v>
      </c>
      <c r="AT328" t="s">
        <v>1546</v>
      </c>
      <c r="AW328" t="s">
        <v>601</v>
      </c>
      <c r="AX328" t="s">
        <v>1547</v>
      </c>
      <c r="AY328" t="s">
        <v>556</v>
      </c>
      <c r="BA328" t="s">
        <v>1548</v>
      </c>
      <c r="BB328" t="s">
        <v>558</v>
      </c>
      <c r="BC328" t="s">
        <v>121</v>
      </c>
      <c r="BD328" t="s">
        <v>1549</v>
      </c>
      <c r="BH328" t="s">
        <v>560</v>
      </c>
      <c r="BI328" t="s">
        <v>561</v>
      </c>
      <c r="BK328" t="s">
        <v>607</v>
      </c>
      <c r="BL328" t="s">
        <v>562</v>
      </c>
      <c r="BM328" t="s">
        <v>1777</v>
      </c>
      <c r="BN328">
        <v>1</v>
      </c>
      <c r="BO328">
        <v>122.91</v>
      </c>
      <c r="BP328">
        <v>20</v>
      </c>
      <c r="BQ328">
        <v>33.33</v>
      </c>
      <c r="BR328" t="s">
        <v>549</v>
      </c>
    </row>
    <row r="329" spans="1:70">
      <c r="A329" t="s">
        <v>1774</v>
      </c>
      <c r="B329" t="s">
        <v>120</v>
      </c>
      <c r="C329" t="s">
        <v>1541</v>
      </c>
      <c r="D329" t="s">
        <v>1542</v>
      </c>
      <c r="E329" t="s">
        <v>122</v>
      </c>
      <c r="F329">
        <v>2</v>
      </c>
      <c r="H329" t="s">
        <v>1775</v>
      </c>
      <c r="R329" t="s">
        <v>1776</v>
      </c>
      <c r="S329">
        <v>3</v>
      </c>
      <c r="T329" t="s">
        <v>616</v>
      </c>
      <c r="U329" t="s">
        <v>547</v>
      </c>
      <c r="V329">
        <v>1799.06</v>
      </c>
      <c r="W329">
        <v>1893.75</v>
      </c>
      <c r="Z329" t="s">
        <v>617</v>
      </c>
      <c r="AA329" t="s">
        <v>549</v>
      </c>
      <c r="AB329" t="s">
        <v>748</v>
      </c>
      <c r="AC329" t="s">
        <v>550</v>
      </c>
      <c r="AD329" t="s">
        <v>551</v>
      </c>
      <c r="BR329" t="s">
        <v>549</v>
      </c>
    </row>
    <row r="330" spans="1:70">
      <c r="A330" t="s">
        <v>1778</v>
      </c>
      <c r="B330" t="s">
        <v>75</v>
      </c>
      <c r="C330" t="s">
        <v>865</v>
      </c>
      <c r="D330" t="s">
        <v>866</v>
      </c>
      <c r="E330" t="s">
        <v>77</v>
      </c>
      <c r="F330">
        <v>1</v>
      </c>
      <c r="G330" t="s">
        <v>539</v>
      </c>
      <c r="H330" t="s">
        <v>1779</v>
      </c>
      <c r="I330" t="s">
        <v>748</v>
      </c>
      <c r="J330" t="s">
        <v>542</v>
      </c>
      <c r="K330">
        <v>6520.35</v>
      </c>
      <c r="L330">
        <v>400</v>
      </c>
      <c r="M330" t="s">
        <v>570</v>
      </c>
      <c r="N330" t="s">
        <v>544</v>
      </c>
      <c r="O330">
        <v>131.22999999999999</v>
      </c>
      <c r="P330">
        <v>6920.35</v>
      </c>
      <c r="R330" t="s">
        <v>1780</v>
      </c>
      <c r="S330">
        <v>1</v>
      </c>
      <c r="T330" t="s">
        <v>869</v>
      </c>
      <c r="U330" t="s">
        <v>547</v>
      </c>
      <c r="V330">
        <v>3215.13</v>
      </c>
      <c r="W330">
        <v>3787.5</v>
      </c>
      <c r="X330">
        <v>3215.13</v>
      </c>
      <c r="Z330" t="s">
        <v>870</v>
      </c>
      <c r="AA330" t="s">
        <v>549</v>
      </c>
      <c r="AB330" t="s">
        <v>748</v>
      </c>
      <c r="AC330" t="s">
        <v>550</v>
      </c>
      <c r="AD330" t="s">
        <v>551</v>
      </c>
      <c r="AE330" t="s">
        <v>871</v>
      </c>
      <c r="AF330" t="s">
        <v>872</v>
      </c>
      <c r="AG330" t="s">
        <v>873</v>
      </c>
      <c r="AI330" t="s">
        <v>577</v>
      </c>
      <c r="AJ330" t="s">
        <v>874</v>
      </c>
      <c r="AK330" t="s">
        <v>556</v>
      </c>
      <c r="AM330" t="s">
        <v>875</v>
      </c>
      <c r="AN330" t="s">
        <v>558</v>
      </c>
      <c r="AO330" t="s">
        <v>76</v>
      </c>
      <c r="AP330" t="s">
        <v>549</v>
      </c>
      <c r="AQ330" t="s">
        <v>549</v>
      </c>
      <c r="AR330" t="s">
        <v>876</v>
      </c>
      <c r="AS330" t="s">
        <v>871</v>
      </c>
      <c r="AT330" t="s">
        <v>872</v>
      </c>
      <c r="AU330" t="s">
        <v>873</v>
      </c>
      <c r="AW330" t="s">
        <v>577</v>
      </c>
      <c r="AX330" t="s">
        <v>874</v>
      </c>
      <c r="AY330" t="s">
        <v>556</v>
      </c>
      <c r="BA330" t="s">
        <v>875</v>
      </c>
      <c r="BB330" t="s">
        <v>558</v>
      </c>
      <c r="BC330" t="s">
        <v>76</v>
      </c>
      <c r="BD330" t="s">
        <v>876</v>
      </c>
      <c r="BH330" t="s">
        <v>560</v>
      </c>
      <c r="BI330" t="s">
        <v>561</v>
      </c>
      <c r="BK330" t="s">
        <v>607</v>
      </c>
      <c r="BL330" t="s">
        <v>562</v>
      </c>
      <c r="BM330" t="s">
        <v>1781</v>
      </c>
      <c r="BN330">
        <v>1</v>
      </c>
      <c r="BO330">
        <v>64.56</v>
      </c>
      <c r="BP330">
        <v>20</v>
      </c>
      <c r="BQ330">
        <v>66.67</v>
      </c>
      <c r="BR330" t="s">
        <v>549</v>
      </c>
    </row>
    <row r="331" spans="1:70">
      <c r="A331" t="s">
        <v>1778</v>
      </c>
      <c r="B331" t="s">
        <v>75</v>
      </c>
      <c r="C331" t="s">
        <v>865</v>
      </c>
      <c r="D331" t="s">
        <v>866</v>
      </c>
      <c r="E331" t="s">
        <v>77</v>
      </c>
      <c r="F331">
        <v>1</v>
      </c>
      <c r="H331" t="s">
        <v>1779</v>
      </c>
      <c r="R331" t="s">
        <v>1780</v>
      </c>
      <c r="S331">
        <v>1</v>
      </c>
      <c r="T331" t="s">
        <v>1782</v>
      </c>
      <c r="U331" t="s">
        <v>547</v>
      </c>
      <c r="V331">
        <v>3305.22</v>
      </c>
      <c r="W331">
        <v>3888.5</v>
      </c>
      <c r="X331">
        <v>3305.22</v>
      </c>
      <c r="Z331" t="s">
        <v>1783</v>
      </c>
      <c r="AA331" t="s">
        <v>549</v>
      </c>
      <c r="AB331" t="s">
        <v>748</v>
      </c>
      <c r="AC331" t="s">
        <v>550</v>
      </c>
      <c r="AD331" t="s">
        <v>551</v>
      </c>
      <c r="BR331" t="s">
        <v>549</v>
      </c>
    </row>
    <row r="332" spans="1:70">
      <c r="A332" t="s">
        <v>1784</v>
      </c>
      <c r="B332" t="s">
        <v>352</v>
      </c>
      <c r="C332" t="s">
        <v>1785</v>
      </c>
      <c r="D332" t="s">
        <v>1786</v>
      </c>
      <c r="E332" t="s">
        <v>353</v>
      </c>
      <c r="F332">
        <v>1</v>
      </c>
      <c r="G332" t="s">
        <v>539</v>
      </c>
      <c r="H332" t="s">
        <v>1787</v>
      </c>
      <c r="I332" t="s">
        <v>748</v>
      </c>
      <c r="J332" t="s">
        <v>542</v>
      </c>
      <c r="K332">
        <v>2525</v>
      </c>
      <c r="L332">
        <v>400</v>
      </c>
      <c r="M332" t="s">
        <v>570</v>
      </c>
      <c r="N332" t="s">
        <v>544</v>
      </c>
      <c r="O332">
        <v>91.67</v>
      </c>
      <c r="P332">
        <v>2925</v>
      </c>
      <c r="R332" t="s">
        <v>1788</v>
      </c>
      <c r="S332">
        <v>1</v>
      </c>
      <c r="T332" t="s">
        <v>1033</v>
      </c>
      <c r="U332" t="s">
        <v>547</v>
      </c>
      <c r="V332">
        <v>2525</v>
      </c>
      <c r="W332">
        <v>2525</v>
      </c>
      <c r="Z332" t="s">
        <v>1034</v>
      </c>
      <c r="AA332" t="s">
        <v>549</v>
      </c>
      <c r="AB332" t="s">
        <v>748</v>
      </c>
      <c r="AC332" t="s">
        <v>550</v>
      </c>
      <c r="AD332" t="s">
        <v>551</v>
      </c>
      <c r="AE332" t="s">
        <v>352</v>
      </c>
      <c r="AF332" t="s">
        <v>1789</v>
      </c>
      <c r="AH332" t="s">
        <v>1790</v>
      </c>
      <c r="AI332" t="s">
        <v>1754</v>
      </c>
      <c r="AJ332" t="s">
        <v>1791</v>
      </c>
      <c r="AK332" t="s">
        <v>556</v>
      </c>
      <c r="AM332" t="s">
        <v>1792</v>
      </c>
      <c r="AN332" t="s">
        <v>558</v>
      </c>
      <c r="AO332" t="s">
        <v>333</v>
      </c>
      <c r="AP332" t="s">
        <v>1793</v>
      </c>
      <c r="AQ332" t="s">
        <v>1792</v>
      </c>
      <c r="AR332" t="s">
        <v>1794</v>
      </c>
      <c r="AS332" t="s">
        <v>352</v>
      </c>
      <c r="AT332" t="s">
        <v>1789</v>
      </c>
      <c r="AV332" t="s">
        <v>1790</v>
      </c>
      <c r="AW332" t="s">
        <v>1754</v>
      </c>
      <c r="AX332" t="s">
        <v>1791</v>
      </c>
      <c r="AY332" t="s">
        <v>556</v>
      </c>
      <c r="BA332" t="s">
        <v>1792</v>
      </c>
      <c r="BB332" t="s">
        <v>558</v>
      </c>
      <c r="BC332" t="s">
        <v>333</v>
      </c>
      <c r="BD332" t="s">
        <v>1794</v>
      </c>
      <c r="BH332" t="s">
        <v>560</v>
      </c>
      <c r="BI332" t="s">
        <v>561</v>
      </c>
      <c r="BK332" t="s">
        <v>607</v>
      </c>
      <c r="BL332" t="s">
        <v>562</v>
      </c>
      <c r="BM332" t="s">
        <v>1795</v>
      </c>
      <c r="BN332">
        <v>1</v>
      </c>
      <c r="BO332">
        <v>25</v>
      </c>
      <c r="BP332">
        <v>20</v>
      </c>
      <c r="BQ332">
        <v>66.67</v>
      </c>
      <c r="BR332" t="s">
        <v>549</v>
      </c>
    </row>
    <row r="333" spans="1:70">
      <c r="A333" t="s">
        <v>1796</v>
      </c>
      <c r="B333" t="s">
        <v>129</v>
      </c>
      <c r="C333" t="s">
        <v>1797</v>
      </c>
      <c r="D333" t="s">
        <v>1798</v>
      </c>
      <c r="E333" t="s">
        <v>140</v>
      </c>
      <c r="F333">
        <v>1</v>
      </c>
      <c r="G333" t="s">
        <v>539</v>
      </c>
      <c r="H333" t="s">
        <v>1799</v>
      </c>
      <c r="I333" t="s">
        <v>748</v>
      </c>
      <c r="J333" t="s">
        <v>542</v>
      </c>
      <c r="K333">
        <v>10446.09</v>
      </c>
      <c r="L333">
        <v>200</v>
      </c>
      <c r="M333" t="s">
        <v>543</v>
      </c>
      <c r="N333" t="s">
        <v>544</v>
      </c>
      <c r="O333">
        <v>136.76</v>
      </c>
      <c r="P333">
        <v>10646.09</v>
      </c>
      <c r="R333" t="s">
        <v>1800</v>
      </c>
      <c r="S333">
        <v>1</v>
      </c>
      <c r="T333" t="s">
        <v>1033</v>
      </c>
      <c r="U333" t="s">
        <v>547</v>
      </c>
      <c r="V333">
        <v>2525</v>
      </c>
      <c r="W333">
        <v>2525</v>
      </c>
      <c r="Z333" t="s">
        <v>1034</v>
      </c>
      <c r="AA333" t="s">
        <v>549</v>
      </c>
      <c r="AB333" t="s">
        <v>748</v>
      </c>
      <c r="AC333" t="s">
        <v>550</v>
      </c>
      <c r="AD333" t="s">
        <v>551</v>
      </c>
      <c r="AE333" t="s">
        <v>129</v>
      </c>
      <c r="AF333" t="s">
        <v>1801</v>
      </c>
      <c r="AI333" t="s">
        <v>601</v>
      </c>
      <c r="AJ333" t="s">
        <v>1367</v>
      </c>
      <c r="AK333" t="s">
        <v>556</v>
      </c>
      <c r="AM333" t="s">
        <v>1368</v>
      </c>
      <c r="AN333" t="s">
        <v>558</v>
      </c>
      <c r="AO333" t="s">
        <v>130</v>
      </c>
      <c r="AP333" t="s">
        <v>549</v>
      </c>
      <c r="AQ333" t="s">
        <v>549</v>
      </c>
      <c r="AR333" t="s">
        <v>1802</v>
      </c>
      <c r="AS333" t="s">
        <v>129</v>
      </c>
      <c r="AT333" t="s">
        <v>1801</v>
      </c>
      <c r="AW333" t="s">
        <v>601</v>
      </c>
      <c r="AX333" t="s">
        <v>1367</v>
      </c>
      <c r="AY333" t="s">
        <v>556</v>
      </c>
      <c r="BA333" t="s">
        <v>1368</v>
      </c>
      <c r="BB333" t="s">
        <v>558</v>
      </c>
      <c r="BC333" t="s">
        <v>130</v>
      </c>
      <c r="BD333" t="s">
        <v>1802</v>
      </c>
      <c r="BH333" t="s">
        <v>560</v>
      </c>
      <c r="BI333" t="s">
        <v>561</v>
      </c>
      <c r="BK333" t="s">
        <v>607</v>
      </c>
      <c r="BL333" t="s">
        <v>562</v>
      </c>
      <c r="BM333" t="s">
        <v>1803</v>
      </c>
      <c r="BN333">
        <v>1</v>
      </c>
      <c r="BO333">
        <v>103.43</v>
      </c>
      <c r="BP333">
        <v>20</v>
      </c>
      <c r="BQ333">
        <v>33.33</v>
      </c>
      <c r="BR333" t="s">
        <v>549</v>
      </c>
    </row>
    <row r="334" spans="1:70">
      <c r="A334" t="s">
        <v>1796</v>
      </c>
      <c r="B334" t="s">
        <v>129</v>
      </c>
      <c r="C334" t="s">
        <v>1797</v>
      </c>
      <c r="D334" t="s">
        <v>1798</v>
      </c>
      <c r="E334" t="s">
        <v>140</v>
      </c>
      <c r="F334">
        <v>1</v>
      </c>
      <c r="H334" t="s">
        <v>1799</v>
      </c>
      <c r="R334" t="s">
        <v>1800</v>
      </c>
      <c r="S334">
        <v>1</v>
      </c>
      <c r="T334" t="s">
        <v>907</v>
      </c>
      <c r="U334" t="s">
        <v>547</v>
      </c>
      <c r="V334">
        <v>2736.46</v>
      </c>
      <c r="W334">
        <v>3219.38</v>
      </c>
      <c r="X334">
        <v>2736.46</v>
      </c>
      <c r="Z334" t="s">
        <v>908</v>
      </c>
      <c r="AA334" t="s">
        <v>549</v>
      </c>
      <c r="AB334" t="s">
        <v>748</v>
      </c>
      <c r="AC334" t="s">
        <v>550</v>
      </c>
      <c r="AD334" t="s">
        <v>551</v>
      </c>
      <c r="BR334" t="s">
        <v>549</v>
      </c>
    </row>
    <row r="335" spans="1:70">
      <c r="A335" t="s">
        <v>1796</v>
      </c>
      <c r="B335" t="s">
        <v>129</v>
      </c>
      <c r="C335" t="s">
        <v>1797</v>
      </c>
      <c r="D335" t="s">
        <v>1798</v>
      </c>
      <c r="E335" t="s">
        <v>140</v>
      </c>
      <c r="F335">
        <v>1</v>
      </c>
      <c r="H335" t="s">
        <v>1799</v>
      </c>
      <c r="R335" t="s">
        <v>1800</v>
      </c>
      <c r="S335">
        <v>1</v>
      </c>
      <c r="T335" t="s">
        <v>869</v>
      </c>
      <c r="U335" t="s">
        <v>547</v>
      </c>
      <c r="V335">
        <v>3215.13</v>
      </c>
      <c r="W335">
        <v>3787.5</v>
      </c>
      <c r="X335">
        <v>3215.13</v>
      </c>
      <c r="Z335" t="s">
        <v>870</v>
      </c>
      <c r="AA335" t="s">
        <v>549</v>
      </c>
      <c r="AB335" t="s">
        <v>748</v>
      </c>
      <c r="AC335" t="s">
        <v>550</v>
      </c>
      <c r="AD335" t="s">
        <v>551</v>
      </c>
      <c r="BR335" t="s">
        <v>549</v>
      </c>
    </row>
    <row r="336" spans="1:70">
      <c r="A336" t="s">
        <v>1796</v>
      </c>
      <c r="B336" t="s">
        <v>129</v>
      </c>
      <c r="C336" t="s">
        <v>1797</v>
      </c>
      <c r="D336" t="s">
        <v>1798</v>
      </c>
      <c r="E336" t="s">
        <v>140</v>
      </c>
      <c r="F336">
        <v>1</v>
      </c>
      <c r="H336" t="s">
        <v>1799</v>
      </c>
      <c r="R336" t="s">
        <v>1800</v>
      </c>
      <c r="S336">
        <v>1</v>
      </c>
      <c r="T336" t="s">
        <v>1804</v>
      </c>
      <c r="U336" t="s">
        <v>547</v>
      </c>
      <c r="V336">
        <v>1969.5</v>
      </c>
      <c r="W336">
        <v>1969.5</v>
      </c>
      <c r="Z336" t="s">
        <v>1805</v>
      </c>
      <c r="AA336" t="s">
        <v>549</v>
      </c>
      <c r="AB336" t="s">
        <v>748</v>
      </c>
      <c r="AC336" t="s">
        <v>550</v>
      </c>
      <c r="AD336" t="s">
        <v>551</v>
      </c>
      <c r="BR336" t="s">
        <v>549</v>
      </c>
    </row>
    <row r="337" spans="1:70">
      <c r="A337" t="s">
        <v>1806</v>
      </c>
      <c r="B337" t="s">
        <v>48</v>
      </c>
      <c r="C337" t="s">
        <v>745</v>
      </c>
      <c r="D337" t="s">
        <v>746</v>
      </c>
      <c r="E337" t="s">
        <v>116</v>
      </c>
      <c r="F337">
        <v>2</v>
      </c>
      <c r="G337" t="s">
        <v>539</v>
      </c>
      <c r="H337" t="s">
        <v>1807</v>
      </c>
      <c r="I337" t="s">
        <v>748</v>
      </c>
      <c r="J337" t="s">
        <v>542</v>
      </c>
      <c r="K337">
        <v>45931.24</v>
      </c>
      <c r="L337">
        <v>0</v>
      </c>
      <c r="M337" t="s">
        <v>1708</v>
      </c>
      <c r="N337" t="s">
        <v>544</v>
      </c>
      <c r="O337">
        <v>422.37</v>
      </c>
      <c r="P337">
        <v>42659.66</v>
      </c>
      <c r="Q337">
        <v>3271.58</v>
      </c>
      <c r="R337" t="s">
        <v>1808</v>
      </c>
      <c r="S337">
        <v>1</v>
      </c>
      <c r="T337" t="s">
        <v>1053</v>
      </c>
      <c r="U337" t="s">
        <v>547</v>
      </c>
      <c r="V337">
        <v>5742.94</v>
      </c>
      <c r="W337">
        <v>6438.75</v>
      </c>
      <c r="X337">
        <v>5742.94</v>
      </c>
      <c r="Z337" t="s">
        <v>1054</v>
      </c>
      <c r="AA337" t="s">
        <v>549</v>
      </c>
      <c r="AB337" t="s">
        <v>748</v>
      </c>
      <c r="AC337" t="s">
        <v>550</v>
      </c>
      <c r="AD337" t="s">
        <v>551</v>
      </c>
      <c r="AE337" t="s">
        <v>750</v>
      </c>
      <c r="AF337" t="s">
        <v>751</v>
      </c>
      <c r="AG337" t="s">
        <v>752</v>
      </c>
      <c r="AI337" t="s">
        <v>601</v>
      </c>
      <c r="AJ337" t="s">
        <v>753</v>
      </c>
      <c r="AK337" t="s">
        <v>556</v>
      </c>
      <c r="AM337" t="s">
        <v>754</v>
      </c>
      <c r="AN337" t="s">
        <v>558</v>
      </c>
      <c r="AO337" t="s">
        <v>49</v>
      </c>
      <c r="AP337" t="s">
        <v>549</v>
      </c>
      <c r="AQ337" t="s">
        <v>549</v>
      </c>
      <c r="AR337" t="s">
        <v>755</v>
      </c>
      <c r="AS337" t="s">
        <v>750</v>
      </c>
      <c r="AT337" t="s">
        <v>751</v>
      </c>
      <c r="AU337" t="s">
        <v>752</v>
      </c>
      <c r="AW337" t="s">
        <v>601</v>
      </c>
      <c r="AX337" t="s">
        <v>753</v>
      </c>
      <c r="AY337" t="s">
        <v>556</v>
      </c>
      <c r="BA337" t="s">
        <v>754</v>
      </c>
      <c r="BB337" t="s">
        <v>558</v>
      </c>
      <c r="BC337" t="s">
        <v>49</v>
      </c>
      <c r="BD337" t="s">
        <v>755</v>
      </c>
      <c r="BH337" t="s">
        <v>560</v>
      </c>
      <c r="BI337" t="s">
        <v>561</v>
      </c>
      <c r="BK337" t="s">
        <v>607</v>
      </c>
      <c r="BL337" t="s">
        <v>562</v>
      </c>
      <c r="BM337" t="s">
        <v>1809</v>
      </c>
      <c r="BN337">
        <v>1</v>
      </c>
      <c r="BO337">
        <v>422.37</v>
      </c>
      <c r="BR337" t="s">
        <v>549</v>
      </c>
    </row>
    <row r="338" spans="1:70">
      <c r="A338" t="s">
        <v>1806</v>
      </c>
      <c r="B338" t="s">
        <v>48</v>
      </c>
      <c r="C338" t="s">
        <v>745</v>
      </c>
      <c r="D338" t="s">
        <v>746</v>
      </c>
      <c r="E338" t="s">
        <v>116</v>
      </c>
      <c r="F338">
        <v>2</v>
      </c>
      <c r="H338" t="s">
        <v>1807</v>
      </c>
      <c r="R338" t="s">
        <v>1808</v>
      </c>
      <c r="S338">
        <v>2</v>
      </c>
      <c r="T338" t="s">
        <v>1047</v>
      </c>
      <c r="U338" t="s">
        <v>547</v>
      </c>
      <c r="V338">
        <v>3749.63</v>
      </c>
      <c r="W338">
        <v>4166.25</v>
      </c>
      <c r="Z338" t="s">
        <v>610</v>
      </c>
      <c r="AA338" t="s">
        <v>549</v>
      </c>
      <c r="AB338" t="s">
        <v>748</v>
      </c>
      <c r="AC338" t="s">
        <v>550</v>
      </c>
      <c r="AD338" t="s">
        <v>551</v>
      </c>
      <c r="BR338" t="s">
        <v>549</v>
      </c>
    </row>
    <row r="339" spans="1:70">
      <c r="A339" t="s">
        <v>1806</v>
      </c>
      <c r="B339" t="s">
        <v>48</v>
      </c>
      <c r="C339" t="s">
        <v>745</v>
      </c>
      <c r="D339" t="s">
        <v>746</v>
      </c>
      <c r="E339" t="s">
        <v>116</v>
      </c>
      <c r="F339">
        <v>2</v>
      </c>
      <c r="H339" t="s">
        <v>1807</v>
      </c>
      <c r="R339" t="s">
        <v>1808</v>
      </c>
      <c r="S339">
        <v>2</v>
      </c>
      <c r="T339" t="s">
        <v>740</v>
      </c>
      <c r="U339" t="s">
        <v>547</v>
      </c>
      <c r="V339">
        <v>5450.37</v>
      </c>
      <c r="W339">
        <v>6055.97</v>
      </c>
      <c r="Z339" t="s">
        <v>741</v>
      </c>
      <c r="AA339" t="s">
        <v>549</v>
      </c>
      <c r="AB339" t="s">
        <v>748</v>
      </c>
      <c r="AC339" t="s">
        <v>550</v>
      </c>
      <c r="AD339" t="s">
        <v>551</v>
      </c>
      <c r="BR339" t="s">
        <v>549</v>
      </c>
    </row>
    <row r="340" spans="1:70">
      <c r="A340" t="s">
        <v>1806</v>
      </c>
      <c r="B340" t="s">
        <v>48</v>
      </c>
      <c r="C340" t="s">
        <v>745</v>
      </c>
      <c r="D340" t="s">
        <v>746</v>
      </c>
      <c r="E340" t="s">
        <v>116</v>
      </c>
      <c r="F340">
        <v>2</v>
      </c>
      <c r="H340" t="s">
        <v>1807</v>
      </c>
      <c r="R340" t="s">
        <v>1808</v>
      </c>
      <c r="S340">
        <v>2</v>
      </c>
      <c r="T340" t="s">
        <v>588</v>
      </c>
      <c r="U340" t="s">
        <v>547</v>
      </c>
      <c r="V340">
        <v>3736.18</v>
      </c>
      <c r="W340">
        <v>4393.5</v>
      </c>
      <c r="X340">
        <v>3736.18</v>
      </c>
      <c r="Z340" t="s">
        <v>589</v>
      </c>
      <c r="AA340" t="s">
        <v>549</v>
      </c>
      <c r="AB340" t="s">
        <v>748</v>
      </c>
      <c r="AC340" t="s">
        <v>550</v>
      </c>
      <c r="AD340" t="s">
        <v>551</v>
      </c>
      <c r="BR340" t="s">
        <v>549</v>
      </c>
    </row>
    <row r="341" spans="1:70">
      <c r="A341" t="s">
        <v>1806</v>
      </c>
      <c r="B341" t="s">
        <v>48</v>
      </c>
      <c r="C341" t="s">
        <v>745</v>
      </c>
      <c r="D341" t="s">
        <v>746</v>
      </c>
      <c r="E341" t="s">
        <v>116</v>
      </c>
      <c r="F341">
        <v>2</v>
      </c>
      <c r="H341" t="s">
        <v>1807</v>
      </c>
      <c r="R341" t="s">
        <v>1808</v>
      </c>
      <c r="S341">
        <v>2</v>
      </c>
      <c r="T341" t="s">
        <v>649</v>
      </c>
      <c r="U341" t="s">
        <v>547</v>
      </c>
      <c r="V341">
        <v>3408.75</v>
      </c>
      <c r="W341">
        <v>3787.5</v>
      </c>
      <c r="Z341" t="s">
        <v>650</v>
      </c>
      <c r="AA341" t="s">
        <v>549</v>
      </c>
      <c r="AB341" t="s">
        <v>748</v>
      </c>
      <c r="AC341" t="s">
        <v>550</v>
      </c>
      <c r="AD341" t="s">
        <v>551</v>
      </c>
      <c r="BR341" t="s">
        <v>549</v>
      </c>
    </row>
    <row r="342" spans="1:70">
      <c r="A342" t="s">
        <v>1806</v>
      </c>
      <c r="B342" t="s">
        <v>48</v>
      </c>
      <c r="C342" t="s">
        <v>745</v>
      </c>
      <c r="D342" t="s">
        <v>746</v>
      </c>
      <c r="E342" t="s">
        <v>116</v>
      </c>
      <c r="F342">
        <v>2</v>
      </c>
      <c r="H342" t="s">
        <v>1807</v>
      </c>
      <c r="R342" t="s">
        <v>1808</v>
      </c>
      <c r="S342">
        <v>1</v>
      </c>
      <c r="T342" t="s">
        <v>584</v>
      </c>
      <c r="U342" t="s">
        <v>547</v>
      </c>
      <c r="V342">
        <v>2113.4299999999998</v>
      </c>
      <c r="W342">
        <v>2348.25</v>
      </c>
      <c r="Z342" t="s">
        <v>585</v>
      </c>
      <c r="AA342" t="s">
        <v>549</v>
      </c>
      <c r="AB342" t="s">
        <v>748</v>
      </c>
      <c r="AC342" t="s">
        <v>550</v>
      </c>
      <c r="AD342" t="s">
        <v>551</v>
      </c>
      <c r="BR342" t="s">
        <v>549</v>
      </c>
    </row>
    <row r="343" spans="1:70">
      <c r="A343" t="s">
        <v>1806</v>
      </c>
      <c r="B343" t="s">
        <v>48</v>
      </c>
      <c r="C343" t="s">
        <v>745</v>
      </c>
      <c r="D343" t="s">
        <v>746</v>
      </c>
      <c r="E343" t="s">
        <v>116</v>
      </c>
      <c r="F343">
        <v>2</v>
      </c>
      <c r="H343" t="s">
        <v>1807</v>
      </c>
      <c r="R343" t="s">
        <v>1808</v>
      </c>
      <c r="S343">
        <v>1</v>
      </c>
      <c r="T343" t="s">
        <v>659</v>
      </c>
      <c r="U343" t="s">
        <v>547</v>
      </c>
      <c r="V343">
        <v>2113.4299999999998</v>
      </c>
      <c r="W343">
        <v>2348.25</v>
      </c>
      <c r="Z343" t="s">
        <v>660</v>
      </c>
      <c r="AA343" t="s">
        <v>549</v>
      </c>
      <c r="AB343" t="s">
        <v>748</v>
      </c>
      <c r="AC343" t="s">
        <v>550</v>
      </c>
      <c r="AD343" t="s">
        <v>551</v>
      </c>
      <c r="BR343" t="s">
        <v>549</v>
      </c>
    </row>
    <row r="344" spans="1:70">
      <c r="A344" t="s">
        <v>1810</v>
      </c>
      <c r="B344" t="s">
        <v>60</v>
      </c>
      <c r="C344" t="s">
        <v>809</v>
      </c>
      <c r="D344" t="s">
        <v>810</v>
      </c>
      <c r="E344" t="s">
        <v>62</v>
      </c>
      <c r="F344">
        <v>2</v>
      </c>
      <c r="G344" t="s">
        <v>539</v>
      </c>
      <c r="H344" t="s">
        <v>1811</v>
      </c>
      <c r="I344" t="s">
        <v>748</v>
      </c>
      <c r="J344" t="s">
        <v>542</v>
      </c>
      <c r="K344">
        <v>5926.8</v>
      </c>
      <c r="L344">
        <v>400</v>
      </c>
      <c r="M344" t="s">
        <v>570</v>
      </c>
      <c r="N344" t="s">
        <v>544</v>
      </c>
      <c r="O344">
        <v>125.35</v>
      </c>
      <c r="P344">
        <v>6326.8</v>
      </c>
      <c r="R344" t="s">
        <v>1812</v>
      </c>
      <c r="S344">
        <v>1</v>
      </c>
      <c r="T344" t="s">
        <v>1372</v>
      </c>
      <c r="U344" t="s">
        <v>547</v>
      </c>
      <c r="V344">
        <v>1439.25</v>
      </c>
      <c r="W344">
        <v>1439.25</v>
      </c>
      <c r="Z344" t="s">
        <v>1373</v>
      </c>
      <c r="AA344" t="s">
        <v>549</v>
      </c>
      <c r="AB344" t="s">
        <v>748</v>
      </c>
      <c r="AC344" t="s">
        <v>550</v>
      </c>
      <c r="AD344" t="s">
        <v>551</v>
      </c>
      <c r="AE344" t="s">
        <v>60</v>
      </c>
      <c r="AF344" t="s">
        <v>1813</v>
      </c>
      <c r="AG344" t="s">
        <v>1814</v>
      </c>
      <c r="AI344" t="s">
        <v>670</v>
      </c>
      <c r="AJ344" t="s">
        <v>814</v>
      </c>
      <c r="AK344" t="s">
        <v>556</v>
      </c>
      <c r="AM344" t="s">
        <v>815</v>
      </c>
      <c r="AN344" t="s">
        <v>558</v>
      </c>
      <c r="AO344" t="s">
        <v>61</v>
      </c>
      <c r="AP344" t="s">
        <v>549</v>
      </c>
      <c r="AQ344" t="s">
        <v>549</v>
      </c>
      <c r="AR344" t="s">
        <v>816</v>
      </c>
      <c r="AS344" t="s">
        <v>60</v>
      </c>
      <c r="AT344" t="s">
        <v>1813</v>
      </c>
      <c r="AU344" t="s">
        <v>1814</v>
      </c>
      <c r="AW344" t="s">
        <v>670</v>
      </c>
      <c r="AX344" t="s">
        <v>814</v>
      </c>
      <c r="AY344" t="s">
        <v>556</v>
      </c>
      <c r="BA344" t="s">
        <v>815</v>
      </c>
      <c r="BB344" t="s">
        <v>558</v>
      </c>
      <c r="BC344" t="s">
        <v>61</v>
      </c>
      <c r="BD344" t="s">
        <v>816</v>
      </c>
      <c r="BH344" t="s">
        <v>560</v>
      </c>
      <c r="BI344" t="s">
        <v>561</v>
      </c>
      <c r="BK344" t="s">
        <v>607</v>
      </c>
      <c r="BL344" t="s">
        <v>562</v>
      </c>
      <c r="BM344" t="s">
        <v>1815</v>
      </c>
      <c r="BN344">
        <v>1</v>
      </c>
      <c r="BO344">
        <v>58.68</v>
      </c>
      <c r="BP344">
        <v>20</v>
      </c>
      <c r="BQ344">
        <v>66.67</v>
      </c>
      <c r="BR344" t="s">
        <v>549</v>
      </c>
    </row>
    <row r="345" spans="1:70">
      <c r="A345" t="s">
        <v>1810</v>
      </c>
      <c r="B345" t="s">
        <v>60</v>
      </c>
      <c r="C345" t="s">
        <v>809</v>
      </c>
      <c r="D345" t="s">
        <v>810</v>
      </c>
      <c r="E345" t="s">
        <v>62</v>
      </c>
      <c r="F345">
        <v>2</v>
      </c>
      <c r="H345" t="s">
        <v>1811</v>
      </c>
      <c r="R345" t="s">
        <v>1812</v>
      </c>
      <c r="S345">
        <v>1</v>
      </c>
      <c r="T345" t="s">
        <v>586</v>
      </c>
      <c r="U345" t="s">
        <v>547</v>
      </c>
      <c r="V345">
        <v>3831.05</v>
      </c>
      <c r="W345">
        <v>4507.13</v>
      </c>
      <c r="X345">
        <v>3831.05</v>
      </c>
      <c r="Z345" t="s">
        <v>587</v>
      </c>
      <c r="AA345" t="s">
        <v>549</v>
      </c>
      <c r="AB345" t="s">
        <v>748</v>
      </c>
      <c r="AC345" t="s">
        <v>550</v>
      </c>
      <c r="AD345" t="s">
        <v>551</v>
      </c>
      <c r="BR345" t="s">
        <v>549</v>
      </c>
    </row>
    <row r="346" spans="1:70">
      <c r="A346" t="s">
        <v>1810</v>
      </c>
      <c r="B346" t="s">
        <v>60</v>
      </c>
      <c r="C346" t="s">
        <v>809</v>
      </c>
      <c r="D346" t="s">
        <v>810</v>
      </c>
      <c r="E346" t="s">
        <v>62</v>
      </c>
      <c r="F346">
        <v>2</v>
      </c>
      <c r="H346" t="s">
        <v>1811</v>
      </c>
      <c r="R346" t="s">
        <v>1812</v>
      </c>
      <c r="S346">
        <v>1</v>
      </c>
      <c r="T346" t="s">
        <v>818</v>
      </c>
      <c r="U346" t="s">
        <v>547</v>
      </c>
      <c r="V346">
        <v>656.5</v>
      </c>
      <c r="W346">
        <v>656.5</v>
      </c>
      <c r="Z346" t="s">
        <v>819</v>
      </c>
      <c r="AA346" t="s">
        <v>549</v>
      </c>
      <c r="AB346" t="s">
        <v>748</v>
      </c>
      <c r="AC346" t="s">
        <v>550</v>
      </c>
      <c r="AD346" t="s">
        <v>551</v>
      </c>
      <c r="BR346" t="s">
        <v>549</v>
      </c>
    </row>
    <row r="347" spans="1:70">
      <c r="A347" t="s">
        <v>1816</v>
      </c>
      <c r="B347" t="s">
        <v>298</v>
      </c>
      <c r="C347" t="s">
        <v>1817</v>
      </c>
      <c r="D347" t="s">
        <v>1818</v>
      </c>
      <c r="E347" t="s">
        <v>300</v>
      </c>
      <c r="F347">
        <v>1</v>
      </c>
      <c r="G347" t="s">
        <v>539</v>
      </c>
      <c r="H347" t="s">
        <v>1819</v>
      </c>
      <c r="I347" t="s">
        <v>748</v>
      </c>
      <c r="J347" t="s">
        <v>542</v>
      </c>
      <c r="K347">
        <v>21494.06</v>
      </c>
      <c r="L347">
        <v>200</v>
      </c>
      <c r="M347" t="s">
        <v>543</v>
      </c>
      <c r="N347" t="s">
        <v>544</v>
      </c>
      <c r="O347">
        <v>224.86</v>
      </c>
      <c r="P347">
        <v>19544.650000000001</v>
      </c>
      <c r="Q347">
        <v>2149.41</v>
      </c>
      <c r="R347" t="s">
        <v>1820</v>
      </c>
      <c r="S347">
        <v>1</v>
      </c>
      <c r="T347" t="s">
        <v>1580</v>
      </c>
      <c r="U347" t="s">
        <v>547</v>
      </c>
      <c r="V347">
        <v>13038.47</v>
      </c>
      <c r="W347">
        <v>14487.19</v>
      </c>
      <c r="Z347" t="s">
        <v>1581</v>
      </c>
      <c r="AA347" t="s">
        <v>549</v>
      </c>
      <c r="AB347" t="s">
        <v>748</v>
      </c>
      <c r="AC347" t="s">
        <v>550</v>
      </c>
      <c r="AD347" t="s">
        <v>551</v>
      </c>
      <c r="AE347" t="s">
        <v>298</v>
      </c>
      <c r="AF347" t="s">
        <v>1821</v>
      </c>
      <c r="AG347" t="s">
        <v>1822</v>
      </c>
      <c r="AI347" t="s">
        <v>554</v>
      </c>
      <c r="AJ347" t="s">
        <v>555</v>
      </c>
      <c r="AK347" t="s">
        <v>556</v>
      </c>
      <c r="AM347" t="s">
        <v>557</v>
      </c>
      <c r="AN347" t="s">
        <v>558</v>
      </c>
      <c r="AO347" t="s">
        <v>299</v>
      </c>
      <c r="AP347" t="s">
        <v>549</v>
      </c>
      <c r="AQ347" t="s">
        <v>549</v>
      </c>
      <c r="AR347" t="s">
        <v>1823</v>
      </c>
      <c r="AS347" t="s">
        <v>298</v>
      </c>
      <c r="AT347" t="s">
        <v>1821</v>
      </c>
      <c r="AU347" t="s">
        <v>1822</v>
      </c>
      <c r="AW347" t="s">
        <v>554</v>
      </c>
      <c r="AX347" t="s">
        <v>555</v>
      </c>
      <c r="AY347" t="s">
        <v>556</v>
      </c>
      <c r="BA347" t="s">
        <v>557</v>
      </c>
      <c r="BB347" t="s">
        <v>558</v>
      </c>
      <c r="BC347" t="s">
        <v>299</v>
      </c>
      <c r="BD347" t="s">
        <v>1823</v>
      </c>
      <c r="BH347" t="s">
        <v>560</v>
      </c>
      <c r="BI347" t="s">
        <v>561</v>
      </c>
      <c r="BK347" t="s">
        <v>607</v>
      </c>
      <c r="BL347" t="s">
        <v>562</v>
      </c>
      <c r="BM347" t="s">
        <v>1824</v>
      </c>
      <c r="BN347">
        <v>1</v>
      </c>
      <c r="BO347">
        <v>191.53</v>
      </c>
      <c r="BP347">
        <v>20</v>
      </c>
      <c r="BQ347">
        <v>33.33</v>
      </c>
      <c r="BR347" t="s">
        <v>549</v>
      </c>
    </row>
    <row r="348" spans="1:70">
      <c r="A348" t="s">
        <v>1816</v>
      </c>
      <c r="B348" t="s">
        <v>298</v>
      </c>
      <c r="C348" t="s">
        <v>1817</v>
      </c>
      <c r="D348" t="s">
        <v>1818</v>
      </c>
      <c r="E348" t="s">
        <v>300</v>
      </c>
      <c r="F348">
        <v>1</v>
      </c>
      <c r="H348" t="s">
        <v>1819</v>
      </c>
      <c r="R348" t="s">
        <v>1820</v>
      </c>
      <c r="S348">
        <v>1</v>
      </c>
      <c r="T348" t="s">
        <v>1033</v>
      </c>
      <c r="U348" t="s">
        <v>547</v>
      </c>
      <c r="V348">
        <v>2272.5</v>
      </c>
      <c r="W348">
        <v>2525</v>
      </c>
      <c r="Z348" t="s">
        <v>1034</v>
      </c>
      <c r="AA348" t="s">
        <v>549</v>
      </c>
      <c r="AB348" t="s">
        <v>748</v>
      </c>
      <c r="AC348" t="s">
        <v>550</v>
      </c>
      <c r="AD348" t="s">
        <v>551</v>
      </c>
      <c r="BR348" t="s">
        <v>549</v>
      </c>
    </row>
    <row r="349" spans="1:70">
      <c r="A349" t="s">
        <v>1816</v>
      </c>
      <c r="B349" t="s">
        <v>298</v>
      </c>
      <c r="C349" t="s">
        <v>1817</v>
      </c>
      <c r="D349" t="s">
        <v>1818</v>
      </c>
      <c r="E349" t="s">
        <v>300</v>
      </c>
      <c r="F349">
        <v>1</v>
      </c>
      <c r="H349" t="s">
        <v>1819</v>
      </c>
      <c r="R349" t="s">
        <v>1820</v>
      </c>
      <c r="S349">
        <v>1</v>
      </c>
      <c r="T349" t="s">
        <v>933</v>
      </c>
      <c r="U349" t="s">
        <v>547</v>
      </c>
      <c r="V349">
        <v>1960.03</v>
      </c>
      <c r="W349">
        <v>2177.81</v>
      </c>
      <c r="Z349" t="s">
        <v>934</v>
      </c>
      <c r="AA349" t="s">
        <v>549</v>
      </c>
      <c r="AB349" t="s">
        <v>748</v>
      </c>
      <c r="AC349" t="s">
        <v>550</v>
      </c>
      <c r="AD349" t="s">
        <v>551</v>
      </c>
      <c r="BR349" t="s">
        <v>549</v>
      </c>
    </row>
    <row r="350" spans="1:70">
      <c r="A350" t="s">
        <v>1816</v>
      </c>
      <c r="B350" t="s">
        <v>298</v>
      </c>
      <c r="C350" t="s">
        <v>1817</v>
      </c>
      <c r="D350" t="s">
        <v>1818</v>
      </c>
      <c r="E350" t="s">
        <v>300</v>
      </c>
      <c r="F350">
        <v>1</v>
      </c>
      <c r="H350" t="s">
        <v>1819</v>
      </c>
      <c r="R350" t="s">
        <v>1820</v>
      </c>
      <c r="S350">
        <v>1</v>
      </c>
      <c r="T350" t="s">
        <v>953</v>
      </c>
      <c r="U350" t="s">
        <v>547</v>
      </c>
      <c r="V350">
        <v>2073.65</v>
      </c>
      <c r="W350">
        <v>2304.06</v>
      </c>
      <c r="Z350" t="s">
        <v>954</v>
      </c>
      <c r="AA350" t="s">
        <v>549</v>
      </c>
      <c r="AB350" t="s">
        <v>748</v>
      </c>
      <c r="AC350" t="s">
        <v>550</v>
      </c>
      <c r="AD350" t="s">
        <v>551</v>
      </c>
      <c r="BR350" t="s">
        <v>549</v>
      </c>
    </row>
    <row r="351" spans="1:70">
      <c r="A351" t="s">
        <v>1825</v>
      </c>
      <c r="B351" t="s">
        <v>228</v>
      </c>
      <c r="C351" t="s">
        <v>1826</v>
      </c>
      <c r="D351" t="s">
        <v>1827</v>
      </c>
      <c r="E351" t="s">
        <v>230</v>
      </c>
      <c r="F351">
        <v>1</v>
      </c>
      <c r="G351" t="s">
        <v>539</v>
      </c>
      <c r="H351" t="s">
        <v>1828</v>
      </c>
      <c r="I351" t="s">
        <v>748</v>
      </c>
      <c r="J351" t="s">
        <v>542</v>
      </c>
      <c r="K351">
        <v>5742.94</v>
      </c>
      <c r="L351">
        <v>400</v>
      </c>
      <c r="M351" t="s">
        <v>570</v>
      </c>
      <c r="N351" t="s">
        <v>544</v>
      </c>
      <c r="O351">
        <v>123.53</v>
      </c>
      <c r="P351">
        <v>6142.94</v>
      </c>
      <c r="R351" t="s">
        <v>1829</v>
      </c>
      <c r="S351">
        <v>1</v>
      </c>
      <c r="T351" t="s">
        <v>1053</v>
      </c>
      <c r="U351" t="s">
        <v>547</v>
      </c>
      <c r="V351">
        <v>5742.94</v>
      </c>
      <c r="W351">
        <v>6438.75</v>
      </c>
      <c r="X351">
        <v>5742.94</v>
      </c>
      <c r="Z351" t="s">
        <v>1054</v>
      </c>
      <c r="AA351" t="s">
        <v>549</v>
      </c>
      <c r="AB351" t="s">
        <v>748</v>
      </c>
      <c r="AC351" t="s">
        <v>550</v>
      </c>
      <c r="AD351" t="s">
        <v>551</v>
      </c>
      <c r="AE351" t="s">
        <v>1830</v>
      </c>
      <c r="AF351" t="s">
        <v>1831</v>
      </c>
      <c r="AH351" t="s">
        <v>1832</v>
      </c>
      <c r="AI351" t="s">
        <v>577</v>
      </c>
      <c r="AJ351" t="s">
        <v>1833</v>
      </c>
      <c r="AK351" t="s">
        <v>556</v>
      </c>
      <c r="AM351" t="s">
        <v>1834</v>
      </c>
      <c r="AN351" t="s">
        <v>558</v>
      </c>
      <c r="AO351" t="s">
        <v>229</v>
      </c>
      <c r="AP351" t="s">
        <v>1835</v>
      </c>
      <c r="AQ351" t="s">
        <v>1836</v>
      </c>
      <c r="AR351" t="s">
        <v>1837</v>
      </c>
      <c r="AS351" t="s">
        <v>1830</v>
      </c>
      <c r="AT351" t="s">
        <v>1831</v>
      </c>
      <c r="AV351" t="s">
        <v>1832</v>
      </c>
      <c r="AW351" t="s">
        <v>577</v>
      </c>
      <c r="AX351" t="s">
        <v>1833</v>
      </c>
      <c r="AY351" t="s">
        <v>556</v>
      </c>
      <c r="BA351" t="s">
        <v>1834</v>
      </c>
      <c r="BB351" t="s">
        <v>558</v>
      </c>
      <c r="BC351" t="s">
        <v>229</v>
      </c>
      <c r="BD351" t="s">
        <v>1837</v>
      </c>
      <c r="BH351" t="s">
        <v>560</v>
      </c>
      <c r="BI351" t="s">
        <v>561</v>
      </c>
      <c r="BK351" t="s">
        <v>607</v>
      </c>
      <c r="BL351" t="s">
        <v>562</v>
      </c>
      <c r="BM351" t="s">
        <v>1838</v>
      </c>
      <c r="BN351">
        <v>1</v>
      </c>
      <c r="BO351">
        <v>56.86</v>
      </c>
      <c r="BP351">
        <v>20</v>
      </c>
      <c r="BQ351">
        <v>66.67</v>
      </c>
      <c r="BR351" t="s">
        <v>549</v>
      </c>
    </row>
    <row r="352" spans="1:70">
      <c r="A352" t="s">
        <v>1839</v>
      </c>
      <c r="B352" t="s">
        <v>32</v>
      </c>
      <c r="C352" t="s">
        <v>567</v>
      </c>
      <c r="D352" t="s">
        <v>568</v>
      </c>
      <c r="E352" t="s">
        <v>34</v>
      </c>
      <c r="F352">
        <v>4</v>
      </c>
      <c r="G352" t="s">
        <v>539</v>
      </c>
      <c r="H352" t="s">
        <v>1840</v>
      </c>
      <c r="I352" t="s">
        <v>748</v>
      </c>
      <c r="J352" t="s">
        <v>542</v>
      </c>
      <c r="K352">
        <v>55269.7</v>
      </c>
      <c r="L352">
        <v>0</v>
      </c>
      <c r="M352" t="s">
        <v>1708</v>
      </c>
      <c r="N352" t="s">
        <v>544</v>
      </c>
      <c r="O352">
        <v>541.27</v>
      </c>
      <c r="P352">
        <v>54668.74</v>
      </c>
      <c r="Q352">
        <v>600.96</v>
      </c>
      <c r="R352" t="s">
        <v>1841</v>
      </c>
      <c r="S352">
        <v>1</v>
      </c>
      <c r="T352" t="s">
        <v>862</v>
      </c>
      <c r="U352" t="s">
        <v>547</v>
      </c>
      <c r="V352">
        <v>6249.38</v>
      </c>
      <c r="W352">
        <v>8332.5</v>
      </c>
      <c r="X352">
        <v>6249.38</v>
      </c>
      <c r="Z352" t="s">
        <v>863</v>
      </c>
      <c r="AA352" t="s">
        <v>549</v>
      </c>
      <c r="AB352" t="s">
        <v>748</v>
      </c>
      <c r="AC352" t="s">
        <v>550</v>
      </c>
      <c r="AD352" t="s">
        <v>551</v>
      </c>
      <c r="AE352" t="s">
        <v>32</v>
      </c>
      <c r="AF352" t="s">
        <v>574</v>
      </c>
      <c r="AG352" t="s">
        <v>575</v>
      </c>
      <c r="AH352" t="s">
        <v>576</v>
      </c>
      <c r="AI352" t="s">
        <v>577</v>
      </c>
      <c r="AJ352" t="s">
        <v>578</v>
      </c>
      <c r="AK352" t="s">
        <v>556</v>
      </c>
      <c r="AM352" t="s">
        <v>579</v>
      </c>
      <c r="AN352" t="s">
        <v>558</v>
      </c>
      <c r="AO352" t="s">
        <v>33</v>
      </c>
      <c r="AP352" t="s">
        <v>580</v>
      </c>
      <c r="AQ352" t="s">
        <v>581</v>
      </c>
      <c r="AR352" t="s">
        <v>582</v>
      </c>
      <c r="AS352" t="s">
        <v>32</v>
      </c>
      <c r="AT352" t="s">
        <v>574</v>
      </c>
      <c r="AU352" t="s">
        <v>575</v>
      </c>
      <c r="AV352" t="s">
        <v>576</v>
      </c>
      <c r="AW352" t="s">
        <v>577</v>
      </c>
      <c r="AX352" t="s">
        <v>578</v>
      </c>
      <c r="AY352" t="s">
        <v>556</v>
      </c>
      <c r="BA352" t="s">
        <v>579</v>
      </c>
      <c r="BB352" t="s">
        <v>558</v>
      </c>
      <c r="BC352" t="s">
        <v>33</v>
      </c>
      <c r="BD352" t="s">
        <v>582</v>
      </c>
      <c r="BH352" t="s">
        <v>560</v>
      </c>
      <c r="BI352" t="s">
        <v>561</v>
      </c>
      <c r="BK352" t="s">
        <v>607</v>
      </c>
      <c r="BL352" t="s">
        <v>562</v>
      </c>
      <c r="BM352" t="s">
        <v>1842</v>
      </c>
      <c r="BN352">
        <v>1</v>
      </c>
      <c r="BO352">
        <v>541.27</v>
      </c>
      <c r="BR352" t="s">
        <v>549</v>
      </c>
    </row>
    <row r="353" spans="1:70">
      <c r="A353" t="s">
        <v>1839</v>
      </c>
      <c r="B353" t="s">
        <v>32</v>
      </c>
      <c r="C353" t="s">
        <v>567</v>
      </c>
      <c r="D353" t="s">
        <v>568</v>
      </c>
      <c r="E353" t="s">
        <v>34</v>
      </c>
      <c r="F353">
        <v>4</v>
      </c>
      <c r="H353" t="s">
        <v>1840</v>
      </c>
      <c r="R353" t="s">
        <v>1841</v>
      </c>
      <c r="S353">
        <v>4</v>
      </c>
      <c r="T353" t="s">
        <v>818</v>
      </c>
      <c r="U353" t="s">
        <v>547</v>
      </c>
      <c r="V353">
        <v>623.66999999999996</v>
      </c>
      <c r="W353">
        <v>656.5</v>
      </c>
      <c r="Z353" t="s">
        <v>819</v>
      </c>
      <c r="AA353" t="s">
        <v>549</v>
      </c>
      <c r="AB353" t="s">
        <v>748</v>
      </c>
      <c r="AC353" t="s">
        <v>550</v>
      </c>
      <c r="AD353" t="s">
        <v>551</v>
      </c>
      <c r="BR353" t="s">
        <v>549</v>
      </c>
    </row>
    <row r="354" spans="1:70">
      <c r="A354" t="s">
        <v>1839</v>
      </c>
      <c r="B354" t="s">
        <v>32</v>
      </c>
      <c r="C354" t="s">
        <v>567</v>
      </c>
      <c r="D354" t="s">
        <v>568</v>
      </c>
      <c r="E354" t="s">
        <v>34</v>
      </c>
      <c r="F354">
        <v>4</v>
      </c>
      <c r="H354" t="s">
        <v>1840</v>
      </c>
      <c r="R354" t="s">
        <v>1841</v>
      </c>
      <c r="S354">
        <v>4</v>
      </c>
      <c r="T354" t="s">
        <v>572</v>
      </c>
      <c r="U354" t="s">
        <v>547</v>
      </c>
      <c r="V354">
        <v>5419.28</v>
      </c>
      <c r="W354">
        <v>6375.63</v>
      </c>
      <c r="X354">
        <v>5419.28</v>
      </c>
      <c r="Z354" t="s">
        <v>573</v>
      </c>
      <c r="AA354" t="s">
        <v>549</v>
      </c>
      <c r="AB354" t="s">
        <v>748</v>
      </c>
      <c r="AC354" t="s">
        <v>550</v>
      </c>
      <c r="AD354" t="s">
        <v>551</v>
      </c>
      <c r="BR354" t="s">
        <v>549</v>
      </c>
    </row>
    <row r="355" spans="1:70">
      <c r="A355" t="s">
        <v>1839</v>
      </c>
      <c r="B355" t="s">
        <v>32</v>
      </c>
      <c r="C355" t="s">
        <v>567</v>
      </c>
      <c r="D355" t="s">
        <v>568</v>
      </c>
      <c r="E355" t="s">
        <v>34</v>
      </c>
      <c r="F355">
        <v>4</v>
      </c>
      <c r="H355" t="s">
        <v>1840</v>
      </c>
      <c r="R355" t="s">
        <v>1841</v>
      </c>
      <c r="S355">
        <v>4</v>
      </c>
      <c r="T355" t="s">
        <v>584</v>
      </c>
      <c r="U355" t="s">
        <v>547</v>
      </c>
      <c r="V355">
        <v>2230.84</v>
      </c>
      <c r="W355">
        <v>2348.25</v>
      </c>
      <c r="Z355" t="s">
        <v>585</v>
      </c>
      <c r="AA355" t="s">
        <v>549</v>
      </c>
      <c r="AB355" t="s">
        <v>748</v>
      </c>
      <c r="AC355" t="s">
        <v>550</v>
      </c>
      <c r="AD355" t="s">
        <v>551</v>
      </c>
      <c r="BR355" t="s">
        <v>549</v>
      </c>
    </row>
    <row r="356" spans="1:70">
      <c r="A356" t="s">
        <v>1839</v>
      </c>
      <c r="B356" t="s">
        <v>32</v>
      </c>
      <c r="C356" t="s">
        <v>567</v>
      </c>
      <c r="D356" t="s">
        <v>568</v>
      </c>
      <c r="E356" t="s">
        <v>34</v>
      </c>
      <c r="F356">
        <v>4</v>
      </c>
      <c r="H356" t="s">
        <v>1840</v>
      </c>
      <c r="R356" t="s">
        <v>1841</v>
      </c>
      <c r="S356">
        <v>4</v>
      </c>
      <c r="T356" t="s">
        <v>586</v>
      </c>
      <c r="U356" t="s">
        <v>547</v>
      </c>
      <c r="V356">
        <v>3831.05</v>
      </c>
      <c r="W356">
        <v>4507.13</v>
      </c>
      <c r="X356">
        <v>3831.05</v>
      </c>
      <c r="Z356" t="s">
        <v>587</v>
      </c>
      <c r="AA356" t="s">
        <v>549</v>
      </c>
      <c r="AB356" t="s">
        <v>748</v>
      </c>
      <c r="AC356" t="s">
        <v>550</v>
      </c>
      <c r="AD356" t="s">
        <v>551</v>
      </c>
      <c r="BR356" t="s">
        <v>549</v>
      </c>
    </row>
    <row r="357" spans="1:70">
      <c r="A357" t="s">
        <v>1843</v>
      </c>
      <c r="B357" t="s">
        <v>307</v>
      </c>
      <c r="C357" t="s">
        <v>883</v>
      </c>
      <c r="D357" t="s">
        <v>884</v>
      </c>
      <c r="E357" t="s">
        <v>400</v>
      </c>
      <c r="F357">
        <v>2</v>
      </c>
      <c r="G357" t="s">
        <v>539</v>
      </c>
      <c r="H357" t="s">
        <v>1844</v>
      </c>
      <c r="I357" t="s">
        <v>748</v>
      </c>
      <c r="J357" t="s">
        <v>542</v>
      </c>
      <c r="K357">
        <v>34466.32</v>
      </c>
      <c r="L357">
        <v>0</v>
      </c>
      <c r="M357" t="s">
        <v>1708</v>
      </c>
      <c r="N357" t="s">
        <v>544</v>
      </c>
      <c r="O357">
        <v>307.13</v>
      </c>
      <c r="P357">
        <v>31019.66</v>
      </c>
      <c r="Q357">
        <v>3446.66</v>
      </c>
      <c r="R357" t="s">
        <v>1845</v>
      </c>
      <c r="S357">
        <v>14</v>
      </c>
      <c r="T357" t="s">
        <v>704</v>
      </c>
      <c r="U357" t="s">
        <v>547</v>
      </c>
      <c r="V357">
        <v>2215.69</v>
      </c>
      <c r="W357">
        <v>2461.88</v>
      </c>
      <c r="Z357" t="s">
        <v>705</v>
      </c>
      <c r="AA357" t="s">
        <v>549</v>
      </c>
      <c r="AB357" t="s">
        <v>748</v>
      </c>
      <c r="AC357" t="s">
        <v>550</v>
      </c>
      <c r="AD357" t="s">
        <v>551</v>
      </c>
      <c r="AE357" t="s">
        <v>307</v>
      </c>
      <c r="AF357" t="s">
        <v>1846</v>
      </c>
      <c r="AG357" t="s">
        <v>1847</v>
      </c>
      <c r="AH357" t="s">
        <v>1847</v>
      </c>
      <c r="AI357" t="s">
        <v>688</v>
      </c>
      <c r="AJ357" t="s">
        <v>776</v>
      </c>
      <c r="AK357" t="s">
        <v>556</v>
      </c>
      <c r="AM357" t="s">
        <v>777</v>
      </c>
      <c r="AN357" t="s">
        <v>558</v>
      </c>
      <c r="AO357" t="s">
        <v>1848</v>
      </c>
      <c r="AP357" t="s">
        <v>888</v>
      </c>
      <c r="AQ357" t="s">
        <v>777</v>
      </c>
      <c r="AR357" t="s">
        <v>888</v>
      </c>
      <c r="AS357" t="s">
        <v>307</v>
      </c>
      <c r="AT357" t="s">
        <v>1846</v>
      </c>
      <c r="AU357" t="s">
        <v>1847</v>
      </c>
      <c r="AV357" t="s">
        <v>1847</v>
      </c>
      <c r="AW357" t="s">
        <v>688</v>
      </c>
      <c r="AX357" t="s">
        <v>776</v>
      </c>
      <c r="AY357" t="s">
        <v>556</v>
      </c>
      <c r="BA357" t="s">
        <v>777</v>
      </c>
      <c r="BB357" t="s">
        <v>558</v>
      </c>
      <c r="BC357" t="s">
        <v>1848</v>
      </c>
      <c r="BD357" t="s">
        <v>888</v>
      </c>
      <c r="BH357" t="s">
        <v>560</v>
      </c>
      <c r="BI357" t="s">
        <v>561</v>
      </c>
      <c r="BK357" t="s">
        <v>607</v>
      </c>
      <c r="BL357" t="s">
        <v>562</v>
      </c>
      <c r="BM357" t="s">
        <v>1849</v>
      </c>
      <c r="BN357">
        <v>1</v>
      </c>
      <c r="BO357">
        <v>307.13</v>
      </c>
      <c r="BR357" t="s">
        <v>549</v>
      </c>
    </row>
    <row r="358" spans="1:70">
      <c r="A358" t="s">
        <v>1850</v>
      </c>
      <c r="B358" t="s">
        <v>133</v>
      </c>
      <c r="C358" t="s">
        <v>1851</v>
      </c>
      <c r="D358" t="s">
        <v>1852</v>
      </c>
      <c r="E358" t="s">
        <v>144</v>
      </c>
      <c r="F358">
        <v>1</v>
      </c>
      <c r="G358" t="s">
        <v>539</v>
      </c>
      <c r="H358" t="s">
        <v>1853</v>
      </c>
      <c r="I358" t="s">
        <v>748</v>
      </c>
      <c r="J358" t="s">
        <v>542</v>
      </c>
      <c r="K358">
        <v>25755</v>
      </c>
      <c r="L358">
        <v>0</v>
      </c>
      <c r="M358" t="s">
        <v>1708</v>
      </c>
      <c r="N358" t="s">
        <v>544</v>
      </c>
      <c r="O358">
        <v>229.5</v>
      </c>
      <c r="P358">
        <v>23179.52</v>
      </c>
      <c r="Q358">
        <v>2575.48</v>
      </c>
      <c r="R358" t="s">
        <v>1854</v>
      </c>
      <c r="S358">
        <v>4</v>
      </c>
      <c r="T358" t="s">
        <v>1053</v>
      </c>
      <c r="U358" t="s">
        <v>547</v>
      </c>
      <c r="V358">
        <v>5794.88</v>
      </c>
      <c r="W358">
        <v>6438.75</v>
      </c>
      <c r="Z358" t="s">
        <v>1054</v>
      </c>
      <c r="AA358" t="s">
        <v>549</v>
      </c>
      <c r="AB358" t="s">
        <v>748</v>
      </c>
      <c r="AC358" t="s">
        <v>550</v>
      </c>
      <c r="AD358" t="s">
        <v>551</v>
      </c>
      <c r="AE358" t="s">
        <v>1855</v>
      </c>
      <c r="AF358" t="s">
        <v>1856</v>
      </c>
      <c r="AG358" t="s">
        <v>1857</v>
      </c>
      <c r="AI358" t="s">
        <v>670</v>
      </c>
      <c r="AJ358" t="s">
        <v>1858</v>
      </c>
      <c r="AK358" t="s">
        <v>556</v>
      </c>
      <c r="AM358" t="s">
        <v>1859</v>
      </c>
      <c r="AN358" t="s">
        <v>558</v>
      </c>
      <c r="AO358" t="s">
        <v>134</v>
      </c>
      <c r="AP358" t="s">
        <v>549</v>
      </c>
      <c r="AQ358" t="s">
        <v>549</v>
      </c>
      <c r="AR358" t="s">
        <v>1860</v>
      </c>
      <c r="AS358" t="s">
        <v>1855</v>
      </c>
      <c r="AT358" t="s">
        <v>1856</v>
      </c>
      <c r="AU358" t="s">
        <v>1857</v>
      </c>
      <c r="AW358" t="s">
        <v>670</v>
      </c>
      <c r="AX358" t="s">
        <v>1858</v>
      </c>
      <c r="AY358" t="s">
        <v>556</v>
      </c>
      <c r="BA358" t="s">
        <v>1859</v>
      </c>
      <c r="BB358" t="s">
        <v>558</v>
      </c>
      <c r="BC358" t="s">
        <v>134</v>
      </c>
      <c r="BD358" t="s">
        <v>1860</v>
      </c>
      <c r="BH358" t="s">
        <v>560</v>
      </c>
      <c r="BI358" t="s">
        <v>561</v>
      </c>
      <c r="BK358" t="s">
        <v>607</v>
      </c>
      <c r="BL358" t="s">
        <v>562</v>
      </c>
      <c r="BM358" t="s">
        <v>1861</v>
      </c>
      <c r="BN358">
        <v>1</v>
      </c>
      <c r="BO358">
        <v>229.5</v>
      </c>
      <c r="BR358" t="s">
        <v>549</v>
      </c>
    </row>
    <row r="359" spans="1:70">
      <c r="A359" t="s">
        <v>1862</v>
      </c>
      <c r="B359" t="s">
        <v>365</v>
      </c>
      <c r="C359" t="s">
        <v>1863</v>
      </c>
      <c r="D359" t="s">
        <v>1864</v>
      </c>
      <c r="E359" t="s">
        <v>366</v>
      </c>
      <c r="F359">
        <v>1</v>
      </c>
      <c r="G359" t="s">
        <v>539</v>
      </c>
      <c r="H359" t="s">
        <v>1865</v>
      </c>
      <c r="I359" t="s">
        <v>748</v>
      </c>
      <c r="J359" t="s">
        <v>542</v>
      </c>
      <c r="K359">
        <v>6438.75</v>
      </c>
      <c r="L359">
        <v>400</v>
      </c>
      <c r="M359" t="s">
        <v>570</v>
      </c>
      <c r="N359" t="s">
        <v>544</v>
      </c>
      <c r="O359">
        <v>130.41999999999999</v>
      </c>
      <c r="P359">
        <v>6838.75</v>
      </c>
      <c r="R359" t="s">
        <v>1866</v>
      </c>
      <c r="S359">
        <v>1</v>
      </c>
      <c r="T359" t="s">
        <v>1053</v>
      </c>
      <c r="U359" t="s">
        <v>547</v>
      </c>
      <c r="V359">
        <v>6438.75</v>
      </c>
      <c r="W359">
        <v>6438.75</v>
      </c>
      <c r="Z359" t="s">
        <v>1054</v>
      </c>
      <c r="AA359" t="s">
        <v>549</v>
      </c>
      <c r="AB359" t="s">
        <v>748</v>
      </c>
      <c r="AC359" t="s">
        <v>550</v>
      </c>
      <c r="AD359" t="s">
        <v>551</v>
      </c>
      <c r="AE359" t="s">
        <v>1867</v>
      </c>
      <c r="AF359" t="s">
        <v>1868</v>
      </c>
      <c r="AG359" t="s">
        <v>1869</v>
      </c>
      <c r="AH359" t="s">
        <v>1870</v>
      </c>
      <c r="AI359" t="s">
        <v>670</v>
      </c>
      <c r="AJ359" t="s">
        <v>1871</v>
      </c>
      <c r="AK359" t="s">
        <v>556</v>
      </c>
      <c r="AM359" t="s">
        <v>672</v>
      </c>
      <c r="AN359" t="s">
        <v>558</v>
      </c>
      <c r="AO359" t="s">
        <v>1872</v>
      </c>
      <c r="AP359" t="s">
        <v>1873</v>
      </c>
      <c r="AQ359" t="s">
        <v>675</v>
      </c>
      <c r="AR359" t="s">
        <v>1874</v>
      </c>
      <c r="AS359" t="s">
        <v>1867</v>
      </c>
      <c r="AT359" t="s">
        <v>1868</v>
      </c>
      <c r="AU359" t="s">
        <v>1869</v>
      </c>
      <c r="AV359" t="s">
        <v>1870</v>
      </c>
      <c r="AW359" t="s">
        <v>670</v>
      </c>
      <c r="AX359" t="s">
        <v>1871</v>
      </c>
      <c r="AY359" t="s">
        <v>556</v>
      </c>
      <c r="BA359" t="s">
        <v>672</v>
      </c>
      <c r="BB359" t="s">
        <v>558</v>
      </c>
      <c r="BC359" t="s">
        <v>1872</v>
      </c>
      <c r="BD359" t="s">
        <v>1874</v>
      </c>
      <c r="BH359" t="s">
        <v>560</v>
      </c>
      <c r="BI359" t="s">
        <v>561</v>
      </c>
      <c r="BK359" t="s">
        <v>607</v>
      </c>
      <c r="BL359" t="s">
        <v>562</v>
      </c>
      <c r="BM359" t="s">
        <v>1875</v>
      </c>
      <c r="BN359">
        <v>1</v>
      </c>
      <c r="BO359">
        <v>63.75</v>
      </c>
      <c r="BP359">
        <v>20</v>
      </c>
      <c r="BQ359">
        <v>66.67</v>
      </c>
      <c r="BR359" t="s">
        <v>549</v>
      </c>
    </row>
    <row r="360" spans="1:70">
      <c r="A360" t="s">
        <v>1876</v>
      </c>
      <c r="B360" t="s">
        <v>386</v>
      </c>
      <c r="C360" t="s">
        <v>1290</v>
      </c>
      <c r="D360" t="s">
        <v>1291</v>
      </c>
      <c r="E360" t="s">
        <v>387</v>
      </c>
      <c r="F360">
        <v>1</v>
      </c>
      <c r="G360" t="s">
        <v>539</v>
      </c>
      <c r="H360" t="s">
        <v>1877</v>
      </c>
      <c r="I360" t="s">
        <v>748</v>
      </c>
      <c r="J360" t="s">
        <v>542</v>
      </c>
      <c r="K360">
        <v>6438.75</v>
      </c>
      <c r="L360">
        <v>400</v>
      </c>
      <c r="M360" t="s">
        <v>570</v>
      </c>
      <c r="N360" t="s">
        <v>544</v>
      </c>
      <c r="O360">
        <v>130.41999999999999</v>
      </c>
      <c r="P360">
        <v>6838.75</v>
      </c>
      <c r="R360" t="s">
        <v>1878</v>
      </c>
      <c r="S360">
        <v>1</v>
      </c>
      <c r="T360" t="s">
        <v>1053</v>
      </c>
      <c r="U360" t="s">
        <v>547</v>
      </c>
      <c r="V360">
        <v>6438.75</v>
      </c>
      <c r="W360">
        <v>6438.75</v>
      </c>
      <c r="Z360" t="s">
        <v>1054</v>
      </c>
      <c r="AA360" t="s">
        <v>549</v>
      </c>
      <c r="AB360" t="s">
        <v>748</v>
      </c>
      <c r="AC360" t="s">
        <v>550</v>
      </c>
      <c r="AD360" t="s">
        <v>551</v>
      </c>
      <c r="AE360" t="s">
        <v>386</v>
      </c>
      <c r="AF360" t="s">
        <v>1302</v>
      </c>
      <c r="AG360" t="s">
        <v>1303</v>
      </c>
      <c r="AH360" t="s">
        <v>1296</v>
      </c>
      <c r="AI360" t="s">
        <v>577</v>
      </c>
      <c r="AJ360" t="s">
        <v>1304</v>
      </c>
      <c r="AK360" t="s">
        <v>556</v>
      </c>
      <c r="AM360" t="s">
        <v>579</v>
      </c>
      <c r="AN360" t="s">
        <v>558</v>
      </c>
      <c r="AO360" t="s">
        <v>1305</v>
      </c>
      <c r="AP360" t="s">
        <v>1299</v>
      </c>
      <c r="AQ360" t="s">
        <v>1300</v>
      </c>
      <c r="AR360" t="s">
        <v>1301</v>
      </c>
      <c r="AS360" t="s">
        <v>386</v>
      </c>
      <c r="AT360" t="s">
        <v>1302</v>
      </c>
      <c r="AU360" t="s">
        <v>1303</v>
      </c>
      <c r="AV360" t="s">
        <v>1296</v>
      </c>
      <c r="AW360" t="s">
        <v>577</v>
      </c>
      <c r="AX360" t="s">
        <v>1304</v>
      </c>
      <c r="AY360" t="s">
        <v>556</v>
      </c>
      <c r="BA360" t="s">
        <v>579</v>
      </c>
      <c r="BB360" t="s">
        <v>558</v>
      </c>
      <c r="BC360" t="s">
        <v>1305</v>
      </c>
      <c r="BD360" t="s">
        <v>1301</v>
      </c>
      <c r="BH360" t="s">
        <v>560</v>
      </c>
      <c r="BI360" t="s">
        <v>561</v>
      </c>
      <c r="BK360" t="s">
        <v>607</v>
      </c>
      <c r="BL360" t="s">
        <v>562</v>
      </c>
      <c r="BM360" t="s">
        <v>1879</v>
      </c>
      <c r="BN360">
        <v>1</v>
      </c>
      <c r="BO360">
        <v>63.75</v>
      </c>
      <c r="BP360">
        <v>20</v>
      </c>
      <c r="BQ360">
        <v>66.67</v>
      </c>
      <c r="BR360" t="s">
        <v>549</v>
      </c>
    </row>
    <row r="361" spans="1:70">
      <c r="A361" t="s">
        <v>1880</v>
      </c>
      <c r="B361" t="s">
        <v>338</v>
      </c>
      <c r="C361" t="s">
        <v>1881</v>
      </c>
      <c r="D361" t="s">
        <v>1882</v>
      </c>
      <c r="E361" t="s">
        <v>340</v>
      </c>
      <c r="F361">
        <v>2</v>
      </c>
      <c r="G361" t="s">
        <v>539</v>
      </c>
      <c r="H361" t="s">
        <v>1883</v>
      </c>
      <c r="I361" t="s">
        <v>748</v>
      </c>
      <c r="J361" t="s">
        <v>542</v>
      </c>
      <c r="K361">
        <v>18104.240000000002</v>
      </c>
      <c r="L361">
        <v>200</v>
      </c>
      <c r="M361" t="s">
        <v>543</v>
      </c>
      <c r="N361" t="s">
        <v>544</v>
      </c>
      <c r="O361">
        <v>207.28</v>
      </c>
      <c r="P361">
        <v>17769.259999999998</v>
      </c>
      <c r="Q361">
        <v>534.98</v>
      </c>
      <c r="R361" t="s">
        <v>1884</v>
      </c>
      <c r="S361">
        <v>2</v>
      </c>
      <c r="T361" t="s">
        <v>1047</v>
      </c>
      <c r="U361" t="s">
        <v>547</v>
      </c>
      <c r="V361">
        <v>3957.94</v>
      </c>
      <c r="W361">
        <v>4166.25</v>
      </c>
      <c r="Z361" t="s">
        <v>610</v>
      </c>
      <c r="AA361" t="s">
        <v>549</v>
      </c>
      <c r="AB361" t="s">
        <v>748</v>
      </c>
      <c r="AC361" t="s">
        <v>550</v>
      </c>
      <c r="AD361" t="s">
        <v>551</v>
      </c>
      <c r="AE361" t="s">
        <v>1885</v>
      </c>
      <c r="AF361" t="s">
        <v>1886</v>
      </c>
      <c r="AG361" t="s">
        <v>1887</v>
      </c>
      <c r="AH361" t="s">
        <v>1888</v>
      </c>
      <c r="AI361" t="s">
        <v>577</v>
      </c>
      <c r="AJ361" t="s">
        <v>1889</v>
      </c>
      <c r="AK361" t="s">
        <v>556</v>
      </c>
      <c r="AM361" t="s">
        <v>1834</v>
      </c>
      <c r="AN361" t="s">
        <v>558</v>
      </c>
      <c r="AO361" t="s">
        <v>339</v>
      </c>
      <c r="AP361" t="s">
        <v>1890</v>
      </c>
      <c r="AQ361" t="s">
        <v>1891</v>
      </c>
      <c r="AR361" t="s">
        <v>1890</v>
      </c>
      <c r="AS361" t="s">
        <v>1885</v>
      </c>
      <c r="AT361" t="s">
        <v>1886</v>
      </c>
      <c r="AU361" t="s">
        <v>1887</v>
      </c>
      <c r="AV361" t="s">
        <v>1888</v>
      </c>
      <c r="AW361" t="s">
        <v>577</v>
      </c>
      <c r="AX361" t="s">
        <v>1889</v>
      </c>
      <c r="AY361" t="s">
        <v>556</v>
      </c>
      <c r="BA361" t="s">
        <v>1834</v>
      </c>
      <c r="BB361" t="s">
        <v>558</v>
      </c>
      <c r="BC361" t="s">
        <v>339</v>
      </c>
      <c r="BD361" t="s">
        <v>1890</v>
      </c>
      <c r="BH361" t="s">
        <v>560</v>
      </c>
      <c r="BI361" t="s">
        <v>561</v>
      </c>
      <c r="BK361" t="s">
        <v>607</v>
      </c>
      <c r="BL361" t="s">
        <v>562</v>
      </c>
      <c r="BM361" t="s">
        <v>1892</v>
      </c>
      <c r="BN361">
        <v>1</v>
      </c>
      <c r="BO361">
        <v>173.95</v>
      </c>
      <c r="BP361">
        <v>20</v>
      </c>
      <c r="BQ361">
        <v>33.33</v>
      </c>
      <c r="BR361" t="s">
        <v>549</v>
      </c>
    </row>
    <row r="362" spans="1:70">
      <c r="A362" t="s">
        <v>1880</v>
      </c>
      <c r="B362" t="s">
        <v>338</v>
      </c>
      <c r="C362" t="s">
        <v>1881</v>
      </c>
      <c r="D362" t="s">
        <v>1882</v>
      </c>
      <c r="E362" t="s">
        <v>340</v>
      </c>
      <c r="F362">
        <v>2</v>
      </c>
      <c r="H362" t="s">
        <v>1883</v>
      </c>
      <c r="R362" t="s">
        <v>1884</v>
      </c>
      <c r="S362">
        <v>5</v>
      </c>
      <c r="T362" t="s">
        <v>1268</v>
      </c>
      <c r="U362" t="s">
        <v>547</v>
      </c>
      <c r="V362">
        <v>1480.91</v>
      </c>
      <c r="W362">
        <v>1742.25</v>
      </c>
      <c r="X362">
        <v>1480.91</v>
      </c>
      <c r="Z362" t="s">
        <v>1269</v>
      </c>
      <c r="AA362" t="s">
        <v>549</v>
      </c>
      <c r="AB362" t="s">
        <v>748</v>
      </c>
      <c r="AC362" t="s">
        <v>550</v>
      </c>
      <c r="AD362" t="s">
        <v>551</v>
      </c>
      <c r="BR362" t="s">
        <v>549</v>
      </c>
    </row>
    <row r="363" spans="1:70">
      <c r="A363" t="s">
        <v>1880</v>
      </c>
      <c r="B363" t="s">
        <v>338</v>
      </c>
      <c r="C363" t="s">
        <v>1881</v>
      </c>
      <c r="D363" t="s">
        <v>1882</v>
      </c>
      <c r="E363" t="s">
        <v>340</v>
      </c>
      <c r="F363">
        <v>2</v>
      </c>
      <c r="H363" t="s">
        <v>1883</v>
      </c>
      <c r="R363" t="s">
        <v>1884</v>
      </c>
      <c r="S363">
        <v>1</v>
      </c>
      <c r="T363" t="s">
        <v>921</v>
      </c>
      <c r="U363" t="s">
        <v>547</v>
      </c>
      <c r="V363">
        <v>1409.27</v>
      </c>
      <c r="W363">
        <v>1483.44</v>
      </c>
      <c r="Z363" t="s">
        <v>922</v>
      </c>
      <c r="AA363" t="s">
        <v>549</v>
      </c>
      <c r="AB363" t="s">
        <v>748</v>
      </c>
      <c r="AC363" t="s">
        <v>550</v>
      </c>
      <c r="AD363" t="s">
        <v>551</v>
      </c>
      <c r="BR363" t="s">
        <v>549</v>
      </c>
    </row>
    <row r="364" spans="1:70">
      <c r="A364" t="s">
        <v>1880</v>
      </c>
      <c r="B364" t="s">
        <v>338</v>
      </c>
      <c r="C364" t="s">
        <v>1881</v>
      </c>
      <c r="D364" t="s">
        <v>1882</v>
      </c>
      <c r="E364" t="s">
        <v>340</v>
      </c>
      <c r="F364">
        <v>2</v>
      </c>
      <c r="H364" t="s">
        <v>1883</v>
      </c>
      <c r="R364" t="s">
        <v>1884</v>
      </c>
      <c r="S364">
        <v>1</v>
      </c>
      <c r="T364" t="s">
        <v>1359</v>
      </c>
      <c r="U364" t="s">
        <v>547</v>
      </c>
      <c r="V364">
        <v>839.56</v>
      </c>
      <c r="W364">
        <v>883.75</v>
      </c>
      <c r="Z364" t="s">
        <v>1360</v>
      </c>
      <c r="AA364" t="s">
        <v>549</v>
      </c>
      <c r="AB364" t="s">
        <v>748</v>
      </c>
      <c r="AC364" t="s">
        <v>550</v>
      </c>
      <c r="AD364" t="s">
        <v>551</v>
      </c>
      <c r="BR364" t="s">
        <v>549</v>
      </c>
    </row>
    <row r="365" spans="1:70">
      <c r="A365" t="s">
        <v>1893</v>
      </c>
      <c r="B365" t="s">
        <v>138</v>
      </c>
      <c r="C365" t="s">
        <v>1894</v>
      </c>
      <c r="D365" t="s">
        <v>1895</v>
      </c>
      <c r="E365" t="s">
        <v>148</v>
      </c>
      <c r="F365">
        <v>1</v>
      </c>
      <c r="G365" t="s">
        <v>539</v>
      </c>
      <c r="H365" t="s">
        <v>1896</v>
      </c>
      <c r="I365" t="s">
        <v>748</v>
      </c>
      <c r="J365" t="s">
        <v>542</v>
      </c>
      <c r="K365">
        <v>12460.88</v>
      </c>
      <c r="L365">
        <v>200</v>
      </c>
      <c r="M365" t="s">
        <v>543</v>
      </c>
      <c r="N365" t="s">
        <v>544</v>
      </c>
      <c r="O365">
        <v>156.71</v>
      </c>
      <c r="P365">
        <v>12660.88</v>
      </c>
      <c r="R365" t="s">
        <v>1897</v>
      </c>
      <c r="S365">
        <v>1</v>
      </c>
      <c r="T365" t="s">
        <v>704</v>
      </c>
      <c r="U365" t="s">
        <v>547</v>
      </c>
      <c r="V365">
        <v>2461.88</v>
      </c>
      <c r="W365">
        <v>2461.88</v>
      </c>
      <c r="Z365" t="s">
        <v>705</v>
      </c>
      <c r="AA365" t="s">
        <v>549</v>
      </c>
      <c r="AB365" t="s">
        <v>748</v>
      </c>
      <c r="AC365" t="s">
        <v>550</v>
      </c>
      <c r="AD365" t="s">
        <v>551</v>
      </c>
      <c r="AE365" t="s">
        <v>138</v>
      </c>
      <c r="AF365" t="s">
        <v>1898</v>
      </c>
      <c r="AI365" t="s">
        <v>1899</v>
      </c>
      <c r="AJ365" t="s">
        <v>1900</v>
      </c>
      <c r="AK365" t="s">
        <v>556</v>
      </c>
      <c r="AM365" t="s">
        <v>1901</v>
      </c>
      <c r="AN365" t="s">
        <v>558</v>
      </c>
      <c r="AO365" t="s">
        <v>139</v>
      </c>
      <c r="AP365" t="s">
        <v>549</v>
      </c>
      <c r="AQ365" t="s">
        <v>549</v>
      </c>
      <c r="AR365" t="s">
        <v>1902</v>
      </c>
      <c r="AS365" t="s">
        <v>138</v>
      </c>
      <c r="AT365" t="s">
        <v>1898</v>
      </c>
      <c r="AW365" t="s">
        <v>1899</v>
      </c>
      <c r="AX365" t="s">
        <v>1900</v>
      </c>
      <c r="AY365" t="s">
        <v>556</v>
      </c>
      <c r="BA365" t="s">
        <v>1901</v>
      </c>
      <c r="BB365" t="s">
        <v>558</v>
      </c>
      <c r="BC365" t="s">
        <v>139</v>
      </c>
      <c r="BD365" t="s">
        <v>1902</v>
      </c>
      <c r="BH365" t="s">
        <v>560</v>
      </c>
      <c r="BI365" t="s">
        <v>561</v>
      </c>
      <c r="BK365" t="s">
        <v>607</v>
      </c>
      <c r="BL365" t="s">
        <v>562</v>
      </c>
      <c r="BM365" t="s">
        <v>1903</v>
      </c>
      <c r="BN365">
        <v>1</v>
      </c>
      <c r="BO365">
        <v>123.38</v>
      </c>
      <c r="BP365">
        <v>20</v>
      </c>
      <c r="BQ365">
        <v>33.33</v>
      </c>
      <c r="BR365" t="s">
        <v>549</v>
      </c>
    </row>
    <row r="366" spans="1:70">
      <c r="A366" t="s">
        <v>1893</v>
      </c>
      <c r="B366" t="s">
        <v>138</v>
      </c>
      <c r="C366" t="s">
        <v>1894</v>
      </c>
      <c r="D366" t="s">
        <v>1895</v>
      </c>
      <c r="E366" t="s">
        <v>148</v>
      </c>
      <c r="F366">
        <v>1</v>
      </c>
      <c r="H366" t="s">
        <v>1896</v>
      </c>
      <c r="R366" t="s">
        <v>1897</v>
      </c>
      <c r="S366">
        <v>1</v>
      </c>
      <c r="T366" t="s">
        <v>616</v>
      </c>
      <c r="U366" t="s">
        <v>547</v>
      </c>
      <c r="V366">
        <v>1893.75</v>
      </c>
      <c r="W366">
        <v>1893.75</v>
      </c>
      <c r="Z366" t="s">
        <v>617</v>
      </c>
      <c r="AA366" t="s">
        <v>549</v>
      </c>
      <c r="AB366" t="s">
        <v>748</v>
      </c>
      <c r="AC366" t="s">
        <v>550</v>
      </c>
      <c r="AD366" t="s">
        <v>551</v>
      </c>
      <c r="BR366" t="s">
        <v>549</v>
      </c>
    </row>
    <row r="367" spans="1:70">
      <c r="A367" t="s">
        <v>1893</v>
      </c>
      <c r="B367" t="s">
        <v>138</v>
      </c>
      <c r="C367" t="s">
        <v>1894</v>
      </c>
      <c r="D367" t="s">
        <v>1895</v>
      </c>
      <c r="E367" t="s">
        <v>148</v>
      </c>
      <c r="F367">
        <v>1</v>
      </c>
      <c r="H367" t="s">
        <v>1896</v>
      </c>
      <c r="R367" t="s">
        <v>1897</v>
      </c>
      <c r="S367">
        <v>1</v>
      </c>
      <c r="T367" t="s">
        <v>628</v>
      </c>
      <c r="U367" t="s">
        <v>547</v>
      </c>
      <c r="V367">
        <v>5580.25</v>
      </c>
      <c r="W367">
        <v>6565</v>
      </c>
      <c r="X367">
        <v>5580.25</v>
      </c>
      <c r="Z367" t="s">
        <v>629</v>
      </c>
      <c r="AA367" t="s">
        <v>549</v>
      </c>
      <c r="AB367" t="s">
        <v>748</v>
      </c>
      <c r="AC367" t="s">
        <v>550</v>
      </c>
      <c r="AD367" t="s">
        <v>551</v>
      </c>
      <c r="BR367" t="s">
        <v>549</v>
      </c>
    </row>
    <row r="368" spans="1:70">
      <c r="A368" t="s">
        <v>1893</v>
      </c>
      <c r="B368" t="s">
        <v>138</v>
      </c>
      <c r="C368" t="s">
        <v>1894</v>
      </c>
      <c r="D368" t="s">
        <v>1895</v>
      </c>
      <c r="E368" t="s">
        <v>148</v>
      </c>
      <c r="F368">
        <v>1</v>
      </c>
      <c r="H368" t="s">
        <v>1896</v>
      </c>
      <c r="R368" t="s">
        <v>1897</v>
      </c>
      <c r="S368">
        <v>1</v>
      </c>
      <c r="T368" t="s">
        <v>1033</v>
      </c>
      <c r="U368" t="s">
        <v>547</v>
      </c>
      <c r="V368">
        <v>2525</v>
      </c>
      <c r="W368">
        <v>2525</v>
      </c>
      <c r="Z368" t="s">
        <v>1034</v>
      </c>
      <c r="AA368" t="s">
        <v>549</v>
      </c>
      <c r="AB368" t="s">
        <v>748</v>
      </c>
      <c r="AC368" t="s">
        <v>550</v>
      </c>
      <c r="AD368" t="s">
        <v>551</v>
      </c>
      <c r="BR368" t="s">
        <v>549</v>
      </c>
    </row>
    <row r="369" spans="1:70">
      <c r="A369" t="s">
        <v>1904</v>
      </c>
      <c r="B369" t="s">
        <v>335</v>
      </c>
      <c r="C369" t="s">
        <v>1905</v>
      </c>
      <c r="D369" t="s">
        <v>1906</v>
      </c>
      <c r="E369" t="s">
        <v>337</v>
      </c>
      <c r="F369">
        <v>1</v>
      </c>
      <c r="G369" t="s">
        <v>539</v>
      </c>
      <c r="H369" t="s">
        <v>1907</v>
      </c>
      <c r="I369" t="s">
        <v>748</v>
      </c>
      <c r="J369" t="s">
        <v>542</v>
      </c>
      <c r="K369">
        <v>1985.28</v>
      </c>
      <c r="L369">
        <v>400</v>
      </c>
      <c r="M369" t="s">
        <v>570</v>
      </c>
      <c r="N369" t="s">
        <v>544</v>
      </c>
      <c r="O369">
        <v>86.33</v>
      </c>
      <c r="P369">
        <v>2385.2800000000002</v>
      </c>
      <c r="R369" t="s">
        <v>1908</v>
      </c>
      <c r="S369">
        <v>1</v>
      </c>
      <c r="T369" t="s">
        <v>564</v>
      </c>
      <c r="U369" t="s">
        <v>547</v>
      </c>
      <c r="V369">
        <v>1985.28</v>
      </c>
      <c r="W369">
        <v>2335.63</v>
      </c>
      <c r="X369">
        <v>1985.28</v>
      </c>
      <c r="Z369" t="s">
        <v>565</v>
      </c>
      <c r="AA369" t="s">
        <v>549</v>
      </c>
      <c r="AB369" t="s">
        <v>748</v>
      </c>
      <c r="AC369" t="s">
        <v>550</v>
      </c>
      <c r="AD369" t="s">
        <v>551</v>
      </c>
      <c r="AE369" t="s">
        <v>1909</v>
      </c>
      <c r="AF369" t="s">
        <v>1910</v>
      </c>
      <c r="AG369" t="s">
        <v>1911</v>
      </c>
      <c r="AI369" t="s">
        <v>601</v>
      </c>
      <c r="AJ369" t="s">
        <v>753</v>
      </c>
      <c r="AK369" t="s">
        <v>556</v>
      </c>
      <c r="AM369" t="s">
        <v>754</v>
      </c>
      <c r="AN369" t="s">
        <v>558</v>
      </c>
      <c r="AO369" t="s">
        <v>336</v>
      </c>
      <c r="AP369" t="s">
        <v>549</v>
      </c>
      <c r="AQ369" t="s">
        <v>549</v>
      </c>
      <c r="AR369" t="s">
        <v>1912</v>
      </c>
      <c r="AS369" t="s">
        <v>1909</v>
      </c>
      <c r="AT369" t="s">
        <v>1910</v>
      </c>
      <c r="AU369" t="s">
        <v>1911</v>
      </c>
      <c r="AW369" t="s">
        <v>601</v>
      </c>
      <c r="AX369" t="s">
        <v>753</v>
      </c>
      <c r="AY369" t="s">
        <v>556</v>
      </c>
      <c r="BA369" t="s">
        <v>754</v>
      </c>
      <c r="BB369" t="s">
        <v>558</v>
      </c>
      <c r="BC369" t="s">
        <v>336</v>
      </c>
      <c r="BD369" t="s">
        <v>1912</v>
      </c>
      <c r="BH369" t="s">
        <v>560</v>
      </c>
      <c r="BI369" t="s">
        <v>561</v>
      </c>
      <c r="BK369" t="s">
        <v>607</v>
      </c>
      <c r="BL369" t="s">
        <v>562</v>
      </c>
      <c r="BM369" t="s">
        <v>1913</v>
      </c>
      <c r="BN369">
        <v>1</v>
      </c>
      <c r="BO369">
        <v>19.66</v>
      </c>
      <c r="BP369">
        <v>20</v>
      </c>
      <c r="BQ369">
        <v>66.67</v>
      </c>
      <c r="BR369" t="s">
        <v>549</v>
      </c>
    </row>
    <row r="370" spans="1:70">
      <c r="A370" t="s">
        <v>1914</v>
      </c>
      <c r="B370" t="s">
        <v>329</v>
      </c>
      <c r="C370" t="s">
        <v>1915</v>
      </c>
      <c r="D370" t="s">
        <v>1916</v>
      </c>
      <c r="E370" t="s">
        <v>331</v>
      </c>
      <c r="F370">
        <v>2</v>
      </c>
      <c r="G370" t="s">
        <v>539</v>
      </c>
      <c r="H370" t="s">
        <v>1917</v>
      </c>
      <c r="I370" t="s">
        <v>748</v>
      </c>
      <c r="J370" t="s">
        <v>542</v>
      </c>
      <c r="K370">
        <v>4608.12</v>
      </c>
      <c r="L370">
        <v>400</v>
      </c>
      <c r="M370" t="s">
        <v>570</v>
      </c>
      <c r="N370" t="s">
        <v>544</v>
      </c>
      <c r="O370">
        <v>112.29</v>
      </c>
      <c r="P370">
        <v>5008.12</v>
      </c>
      <c r="R370" t="s">
        <v>1918</v>
      </c>
      <c r="S370">
        <v>2</v>
      </c>
      <c r="T370" t="s">
        <v>953</v>
      </c>
      <c r="U370" t="s">
        <v>547</v>
      </c>
      <c r="V370">
        <v>2304.06</v>
      </c>
      <c r="W370">
        <v>2304.06</v>
      </c>
      <c r="Z370" t="s">
        <v>954</v>
      </c>
      <c r="AA370" t="s">
        <v>549</v>
      </c>
      <c r="AB370" t="s">
        <v>748</v>
      </c>
      <c r="AC370" t="s">
        <v>550</v>
      </c>
      <c r="AD370" t="s">
        <v>551</v>
      </c>
      <c r="AE370" t="s">
        <v>329</v>
      </c>
      <c r="AF370" t="s">
        <v>1919</v>
      </c>
      <c r="AG370" t="s">
        <v>1920</v>
      </c>
      <c r="AH370" t="s">
        <v>1921</v>
      </c>
      <c r="AI370" t="s">
        <v>1922</v>
      </c>
      <c r="AJ370" t="s">
        <v>1923</v>
      </c>
      <c r="AK370" t="s">
        <v>556</v>
      </c>
      <c r="AM370" t="s">
        <v>1924</v>
      </c>
      <c r="AN370" t="s">
        <v>558</v>
      </c>
      <c r="AO370" t="s">
        <v>1925</v>
      </c>
      <c r="AP370" t="s">
        <v>1926</v>
      </c>
      <c r="AQ370" t="s">
        <v>1927</v>
      </c>
      <c r="AR370" t="s">
        <v>1928</v>
      </c>
      <c r="AS370" t="s">
        <v>329</v>
      </c>
      <c r="AT370" t="s">
        <v>1919</v>
      </c>
      <c r="AU370" t="s">
        <v>1920</v>
      </c>
      <c r="AV370" t="s">
        <v>1921</v>
      </c>
      <c r="AW370" t="s">
        <v>1922</v>
      </c>
      <c r="AX370" t="s">
        <v>1923</v>
      </c>
      <c r="AY370" t="s">
        <v>556</v>
      </c>
      <c r="BA370" t="s">
        <v>1924</v>
      </c>
      <c r="BB370" t="s">
        <v>558</v>
      </c>
      <c r="BC370" t="s">
        <v>1925</v>
      </c>
      <c r="BD370" t="s">
        <v>1928</v>
      </c>
      <c r="BH370" t="s">
        <v>560</v>
      </c>
      <c r="BI370" t="s">
        <v>561</v>
      </c>
      <c r="BK370" t="s">
        <v>607</v>
      </c>
      <c r="BL370" t="s">
        <v>562</v>
      </c>
      <c r="BM370" t="s">
        <v>1929</v>
      </c>
      <c r="BN370">
        <v>1</v>
      </c>
      <c r="BO370">
        <v>45.62</v>
      </c>
      <c r="BP370">
        <v>20</v>
      </c>
      <c r="BQ370">
        <v>66.67</v>
      </c>
      <c r="BR370" t="s">
        <v>549</v>
      </c>
    </row>
    <row r="371" spans="1:70">
      <c r="A371" t="s">
        <v>1930</v>
      </c>
      <c r="B371" t="s">
        <v>210</v>
      </c>
      <c r="C371" t="s">
        <v>1931</v>
      </c>
      <c r="D371" t="s">
        <v>1932</v>
      </c>
      <c r="E371" t="s">
        <v>212</v>
      </c>
      <c r="F371">
        <v>1</v>
      </c>
      <c r="G371" t="s">
        <v>539</v>
      </c>
      <c r="H371" t="s">
        <v>1933</v>
      </c>
      <c r="I371" t="s">
        <v>748</v>
      </c>
      <c r="J371" t="s">
        <v>542</v>
      </c>
      <c r="K371">
        <v>38787.78</v>
      </c>
      <c r="L371">
        <v>0</v>
      </c>
      <c r="M371" t="s">
        <v>1708</v>
      </c>
      <c r="N371" t="s">
        <v>544</v>
      </c>
      <c r="O371">
        <v>355.39</v>
      </c>
      <c r="P371">
        <v>35894.129999999997</v>
      </c>
      <c r="Q371">
        <v>2893.65</v>
      </c>
      <c r="R371" t="s">
        <v>1934</v>
      </c>
      <c r="S371">
        <v>2</v>
      </c>
      <c r="T371" t="s">
        <v>546</v>
      </c>
      <c r="U371" t="s">
        <v>547</v>
      </c>
      <c r="V371">
        <v>2727</v>
      </c>
      <c r="W371">
        <v>3030</v>
      </c>
      <c r="Z371" t="s">
        <v>548</v>
      </c>
      <c r="AA371" t="s">
        <v>549</v>
      </c>
      <c r="AB371" t="s">
        <v>748</v>
      </c>
      <c r="AC371" t="s">
        <v>550</v>
      </c>
      <c r="AD371" t="s">
        <v>551</v>
      </c>
      <c r="AE371" t="s">
        <v>1935</v>
      </c>
      <c r="AF371" t="s">
        <v>1936</v>
      </c>
      <c r="AG371" t="s">
        <v>1937</v>
      </c>
      <c r="AH371" t="s">
        <v>1938</v>
      </c>
      <c r="AI371" t="s">
        <v>577</v>
      </c>
      <c r="AJ371" t="s">
        <v>1939</v>
      </c>
      <c r="AK371" t="s">
        <v>556</v>
      </c>
      <c r="AM371" t="s">
        <v>1940</v>
      </c>
      <c r="AN371" t="s">
        <v>558</v>
      </c>
      <c r="AO371" t="s">
        <v>211</v>
      </c>
      <c r="AP371" t="s">
        <v>1941</v>
      </c>
      <c r="AQ371" t="s">
        <v>1942</v>
      </c>
      <c r="AR371" t="s">
        <v>1943</v>
      </c>
      <c r="AS371" t="s">
        <v>1935</v>
      </c>
      <c r="AT371" t="s">
        <v>1936</v>
      </c>
      <c r="AU371" t="s">
        <v>1937</v>
      </c>
      <c r="AV371" t="s">
        <v>1938</v>
      </c>
      <c r="AW371" t="s">
        <v>577</v>
      </c>
      <c r="AX371" t="s">
        <v>1939</v>
      </c>
      <c r="AY371" t="s">
        <v>556</v>
      </c>
      <c r="BA371" t="s">
        <v>1940</v>
      </c>
      <c r="BB371" t="s">
        <v>558</v>
      </c>
      <c r="BC371" t="s">
        <v>211</v>
      </c>
      <c r="BD371" t="s">
        <v>1943</v>
      </c>
      <c r="BH371" t="s">
        <v>560</v>
      </c>
      <c r="BI371" t="s">
        <v>561</v>
      </c>
      <c r="BK371" t="s">
        <v>607</v>
      </c>
      <c r="BL371" t="s">
        <v>562</v>
      </c>
      <c r="BM371" t="s">
        <v>1944</v>
      </c>
      <c r="BN371">
        <v>1</v>
      </c>
      <c r="BO371">
        <v>355.39</v>
      </c>
      <c r="BR371" t="s">
        <v>549</v>
      </c>
    </row>
    <row r="372" spans="1:70">
      <c r="A372" t="s">
        <v>1930</v>
      </c>
      <c r="B372" t="s">
        <v>210</v>
      </c>
      <c r="C372" t="s">
        <v>1931</v>
      </c>
      <c r="D372" t="s">
        <v>1932</v>
      </c>
      <c r="E372" t="s">
        <v>212</v>
      </c>
      <c r="F372">
        <v>1</v>
      </c>
      <c r="H372" t="s">
        <v>1933</v>
      </c>
      <c r="R372" t="s">
        <v>1934</v>
      </c>
      <c r="S372">
        <v>1</v>
      </c>
      <c r="T372" t="s">
        <v>1804</v>
      </c>
      <c r="U372" t="s">
        <v>547</v>
      </c>
      <c r="V372">
        <v>1772.55</v>
      </c>
      <c r="W372">
        <v>1969.5</v>
      </c>
      <c r="Z372" t="s">
        <v>1805</v>
      </c>
      <c r="AA372" t="s">
        <v>549</v>
      </c>
      <c r="AB372" t="s">
        <v>748</v>
      </c>
      <c r="AC372" t="s">
        <v>550</v>
      </c>
      <c r="AD372" t="s">
        <v>551</v>
      </c>
      <c r="BR372" t="s">
        <v>549</v>
      </c>
    </row>
    <row r="373" spans="1:70">
      <c r="A373" t="s">
        <v>1930</v>
      </c>
      <c r="B373" t="s">
        <v>210</v>
      </c>
      <c r="C373" t="s">
        <v>1931</v>
      </c>
      <c r="D373" t="s">
        <v>1932</v>
      </c>
      <c r="E373" t="s">
        <v>212</v>
      </c>
      <c r="F373">
        <v>1</v>
      </c>
      <c r="H373" t="s">
        <v>1933</v>
      </c>
      <c r="R373" t="s">
        <v>1934</v>
      </c>
      <c r="S373">
        <v>1</v>
      </c>
      <c r="T373" t="s">
        <v>1945</v>
      </c>
      <c r="U373" t="s">
        <v>547</v>
      </c>
      <c r="V373">
        <v>1090.8</v>
      </c>
      <c r="W373">
        <v>1212</v>
      </c>
      <c r="Z373" t="s">
        <v>1946</v>
      </c>
      <c r="AA373" t="s">
        <v>549</v>
      </c>
      <c r="AB373" t="s">
        <v>748</v>
      </c>
      <c r="AC373" t="s">
        <v>550</v>
      </c>
      <c r="AD373" t="s">
        <v>551</v>
      </c>
      <c r="BR373" t="s">
        <v>549</v>
      </c>
    </row>
    <row r="374" spans="1:70">
      <c r="A374" t="s">
        <v>1930</v>
      </c>
      <c r="B374" t="s">
        <v>210</v>
      </c>
      <c r="C374" t="s">
        <v>1931</v>
      </c>
      <c r="D374" t="s">
        <v>1932</v>
      </c>
      <c r="E374" t="s">
        <v>212</v>
      </c>
      <c r="F374">
        <v>1</v>
      </c>
      <c r="H374" t="s">
        <v>1933</v>
      </c>
      <c r="R374" t="s">
        <v>1934</v>
      </c>
      <c r="S374">
        <v>1</v>
      </c>
      <c r="T374" t="s">
        <v>1720</v>
      </c>
      <c r="U374" t="s">
        <v>547</v>
      </c>
      <c r="V374">
        <v>1090.8</v>
      </c>
      <c r="W374">
        <v>1212</v>
      </c>
      <c r="Z374" t="s">
        <v>1721</v>
      </c>
      <c r="AA374" t="s">
        <v>549</v>
      </c>
      <c r="AB374" t="s">
        <v>748</v>
      </c>
      <c r="AC374" t="s">
        <v>550</v>
      </c>
      <c r="AD374" t="s">
        <v>551</v>
      </c>
      <c r="BR374" t="s">
        <v>549</v>
      </c>
    </row>
    <row r="375" spans="1:70">
      <c r="A375" t="s">
        <v>1930</v>
      </c>
      <c r="B375" t="s">
        <v>210</v>
      </c>
      <c r="C375" t="s">
        <v>1931</v>
      </c>
      <c r="D375" t="s">
        <v>1932</v>
      </c>
      <c r="E375" t="s">
        <v>212</v>
      </c>
      <c r="F375">
        <v>1</v>
      </c>
      <c r="H375" t="s">
        <v>1933</v>
      </c>
      <c r="R375" t="s">
        <v>1934</v>
      </c>
      <c r="S375">
        <v>2</v>
      </c>
      <c r="T375" t="s">
        <v>719</v>
      </c>
      <c r="U375" t="s">
        <v>547</v>
      </c>
      <c r="V375">
        <v>2317.9499999999998</v>
      </c>
      <c r="W375">
        <v>2575.5</v>
      </c>
      <c r="Z375" t="s">
        <v>720</v>
      </c>
      <c r="AA375" t="s">
        <v>549</v>
      </c>
      <c r="AB375" t="s">
        <v>748</v>
      </c>
      <c r="AC375" t="s">
        <v>550</v>
      </c>
      <c r="AD375" t="s">
        <v>551</v>
      </c>
      <c r="BR375" t="s">
        <v>549</v>
      </c>
    </row>
    <row r="376" spans="1:70">
      <c r="A376" t="s">
        <v>1930</v>
      </c>
      <c r="B376" t="s">
        <v>210</v>
      </c>
      <c r="C376" t="s">
        <v>1931</v>
      </c>
      <c r="D376" t="s">
        <v>1932</v>
      </c>
      <c r="E376" t="s">
        <v>212</v>
      </c>
      <c r="F376">
        <v>1</v>
      </c>
      <c r="H376" t="s">
        <v>1933</v>
      </c>
      <c r="R376" t="s">
        <v>1934</v>
      </c>
      <c r="S376">
        <v>3</v>
      </c>
      <c r="T376" t="s">
        <v>630</v>
      </c>
      <c r="U376" t="s">
        <v>547</v>
      </c>
      <c r="V376">
        <v>3408.75</v>
      </c>
      <c r="W376">
        <v>3787.5</v>
      </c>
      <c r="Z376" t="s">
        <v>631</v>
      </c>
      <c r="AA376" t="s">
        <v>549</v>
      </c>
      <c r="AB376" t="s">
        <v>748</v>
      </c>
      <c r="AC376" t="s">
        <v>550</v>
      </c>
      <c r="AD376" t="s">
        <v>551</v>
      </c>
      <c r="BR376" t="s">
        <v>549</v>
      </c>
    </row>
    <row r="377" spans="1:70">
      <c r="A377" t="s">
        <v>1930</v>
      </c>
      <c r="B377" t="s">
        <v>210</v>
      </c>
      <c r="C377" t="s">
        <v>1931</v>
      </c>
      <c r="D377" t="s">
        <v>1932</v>
      </c>
      <c r="E377" t="s">
        <v>212</v>
      </c>
      <c r="F377">
        <v>1</v>
      </c>
      <c r="H377" t="s">
        <v>1933</v>
      </c>
      <c r="R377" t="s">
        <v>1934</v>
      </c>
      <c r="S377">
        <v>1</v>
      </c>
      <c r="T377" t="s">
        <v>1398</v>
      </c>
      <c r="U377" t="s">
        <v>547</v>
      </c>
      <c r="V377">
        <v>1772.55</v>
      </c>
      <c r="W377">
        <v>1969.5</v>
      </c>
      <c r="Z377" t="s">
        <v>1399</v>
      </c>
      <c r="AA377" t="s">
        <v>549</v>
      </c>
      <c r="AB377" t="s">
        <v>748</v>
      </c>
      <c r="AC377" t="s">
        <v>550</v>
      </c>
      <c r="AD377" t="s">
        <v>551</v>
      </c>
      <c r="BR377" t="s">
        <v>549</v>
      </c>
    </row>
    <row r="378" spans="1:70">
      <c r="A378" t="s">
        <v>1930</v>
      </c>
      <c r="B378" t="s">
        <v>210</v>
      </c>
      <c r="C378" t="s">
        <v>1931</v>
      </c>
      <c r="D378" t="s">
        <v>1932</v>
      </c>
      <c r="E378" t="s">
        <v>212</v>
      </c>
      <c r="F378">
        <v>1</v>
      </c>
      <c r="H378" t="s">
        <v>1933</v>
      </c>
      <c r="R378" t="s">
        <v>1934</v>
      </c>
      <c r="S378">
        <v>3</v>
      </c>
      <c r="T378" t="s">
        <v>632</v>
      </c>
      <c r="U378" t="s">
        <v>547</v>
      </c>
      <c r="V378">
        <v>1802.85</v>
      </c>
      <c r="W378">
        <v>2121</v>
      </c>
      <c r="X378">
        <v>1802.85</v>
      </c>
      <c r="Z378" t="s">
        <v>633</v>
      </c>
      <c r="AA378" t="s">
        <v>549</v>
      </c>
      <c r="AB378" t="s">
        <v>748</v>
      </c>
      <c r="AC378" t="s">
        <v>550</v>
      </c>
      <c r="AD378" t="s">
        <v>551</v>
      </c>
      <c r="BR378" t="s">
        <v>549</v>
      </c>
    </row>
    <row r="379" spans="1:70">
      <c r="A379" t="s">
        <v>1930</v>
      </c>
      <c r="B379" t="s">
        <v>210</v>
      </c>
      <c r="C379" t="s">
        <v>1931</v>
      </c>
      <c r="D379" t="s">
        <v>1932</v>
      </c>
      <c r="E379" t="s">
        <v>212</v>
      </c>
      <c r="F379">
        <v>1</v>
      </c>
      <c r="H379" t="s">
        <v>1933</v>
      </c>
      <c r="R379" t="s">
        <v>1934</v>
      </c>
      <c r="S379">
        <v>3</v>
      </c>
      <c r="T379" t="s">
        <v>1268</v>
      </c>
      <c r="U379" t="s">
        <v>547</v>
      </c>
      <c r="V379">
        <v>1480.91</v>
      </c>
      <c r="W379">
        <v>1742.25</v>
      </c>
      <c r="X379">
        <v>1480.91</v>
      </c>
      <c r="Z379" t="s">
        <v>1269</v>
      </c>
      <c r="AA379" t="s">
        <v>549</v>
      </c>
      <c r="AB379" t="s">
        <v>748</v>
      </c>
      <c r="AC379" t="s">
        <v>550</v>
      </c>
      <c r="AD379" t="s">
        <v>551</v>
      </c>
      <c r="BR379" t="s">
        <v>549</v>
      </c>
    </row>
    <row r="380" spans="1:70">
      <c r="A380" t="s">
        <v>1947</v>
      </c>
      <c r="B380" t="s">
        <v>372</v>
      </c>
      <c r="C380" t="s">
        <v>662</v>
      </c>
      <c r="D380" t="s">
        <v>663</v>
      </c>
      <c r="E380" t="s">
        <v>373</v>
      </c>
      <c r="F380">
        <v>1</v>
      </c>
      <c r="G380" t="s">
        <v>539</v>
      </c>
      <c r="H380" t="s">
        <v>1948</v>
      </c>
      <c r="I380" t="s">
        <v>748</v>
      </c>
      <c r="J380" t="s">
        <v>542</v>
      </c>
      <c r="K380">
        <v>31384.94</v>
      </c>
      <c r="L380">
        <v>0</v>
      </c>
      <c r="M380" t="s">
        <v>1708</v>
      </c>
      <c r="N380" t="s">
        <v>544</v>
      </c>
      <c r="O380">
        <v>283.37</v>
      </c>
      <c r="P380">
        <v>28620.07</v>
      </c>
      <c r="Q380">
        <v>2764.87</v>
      </c>
      <c r="R380" t="s">
        <v>1949</v>
      </c>
      <c r="S380">
        <v>2</v>
      </c>
      <c r="T380" t="s">
        <v>678</v>
      </c>
      <c r="U380" t="s">
        <v>547</v>
      </c>
      <c r="V380">
        <v>5624.44</v>
      </c>
      <c r="W380">
        <v>6249.38</v>
      </c>
      <c r="Z380" t="s">
        <v>679</v>
      </c>
      <c r="AA380" t="s">
        <v>549</v>
      </c>
      <c r="AB380" t="s">
        <v>748</v>
      </c>
      <c r="AC380" t="s">
        <v>550</v>
      </c>
      <c r="AD380" t="s">
        <v>551</v>
      </c>
      <c r="AE380" t="s">
        <v>666</v>
      </c>
      <c r="AF380" t="s">
        <v>667</v>
      </c>
      <c r="AG380" t="s">
        <v>668</v>
      </c>
      <c r="AH380" t="s">
        <v>669</v>
      </c>
      <c r="AI380" t="s">
        <v>670</v>
      </c>
      <c r="AJ380" t="s">
        <v>671</v>
      </c>
      <c r="AK380" t="s">
        <v>556</v>
      </c>
      <c r="AM380" t="s">
        <v>672</v>
      </c>
      <c r="AN380" t="s">
        <v>558</v>
      </c>
      <c r="AO380" t="s">
        <v>673</v>
      </c>
      <c r="AP380" t="s">
        <v>674</v>
      </c>
      <c r="AQ380" t="s">
        <v>675</v>
      </c>
      <c r="AR380" t="s">
        <v>676</v>
      </c>
      <c r="AS380" t="s">
        <v>666</v>
      </c>
      <c r="AT380" t="s">
        <v>667</v>
      </c>
      <c r="AU380" t="s">
        <v>668</v>
      </c>
      <c r="AV380" t="s">
        <v>669</v>
      </c>
      <c r="AW380" t="s">
        <v>670</v>
      </c>
      <c r="AX380" t="s">
        <v>671</v>
      </c>
      <c r="AY380" t="s">
        <v>556</v>
      </c>
      <c r="BA380" t="s">
        <v>672</v>
      </c>
      <c r="BB380" t="s">
        <v>558</v>
      </c>
      <c r="BC380" t="s">
        <v>673</v>
      </c>
      <c r="BD380" t="s">
        <v>676</v>
      </c>
      <c r="BH380" t="s">
        <v>560</v>
      </c>
      <c r="BI380" t="s">
        <v>561</v>
      </c>
      <c r="BK380" t="s">
        <v>607</v>
      </c>
      <c r="BL380" t="s">
        <v>562</v>
      </c>
      <c r="BM380" t="s">
        <v>1950</v>
      </c>
      <c r="BN380">
        <v>1</v>
      </c>
      <c r="BO380">
        <v>283.37</v>
      </c>
      <c r="BR380" t="s">
        <v>549</v>
      </c>
    </row>
    <row r="381" spans="1:70">
      <c r="A381" t="s">
        <v>1947</v>
      </c>
      <c r="B381" t="s">
        <v>372</v>
      </c>
      <c r="C381" t="s">
        <v>662</v>
      </c>
      <c r="D381" t="s">
        <v>663</v>
      </c>
      <c r="E381" t="s">
        <v>373</v>
      </c>
      <c r="F381">
        <v>1</v>
      </c>
      <c r="H381" t="s">
        <v>1948</v>
      </c>
      <c r="R381" t="s">
        <v>1949</v>
      </c>
      <c r="S381">
        <v>1</v>
      </c>
      <c r="T381" t="s">
        <v>595</v>
      </c>
      <c r="U381" t="s">
        <v>547</v>
      </c>
      <c r="V381">
        <v>7840.13</v>
      </c>
      <c r="W381">
        <v>8711.25</v>
      </c>
      <c r="Z381" t="s">
        <v>596</v>
      </c>
      <c r="AA381" t="s">
        <v>549</v>
      </c>
      <c r="AB381" t="s">
        <v>748</v>
      </c>
      <c r="AC381" t="s">
        <v>550</v>
      </c>
      <c r="AD381" t="s">
        <v>551</v>
      </c>
      <c r="BR381" t="s">
        <v>549</v>
      </c>
    </row>
    <row r="382" spans="1:70">
      <c r="A382" t="s">
        <v>1947</v>
      </c>
      <c r="B382" t="s">
        <v>372</v>
      </c>
      <c r="C382" t="s">
        <v>662</v>
      </c>
      <c r="D382" t="s">
        <v>663</v>
      </c>
      <c r="E382" t="s">
        <v>373</v>
      </c>
      <c r="F382">
        <v>1</v>
      </c>
      <c r="H382" t="s">
        <v>1948</v>
      </c>
      <c r="R382" t="s">
        <v>1949</v>
      </c>
      <c r="S382">
        <v>1</v>
      </c>
      <c r="T382" t="s">
        <v>588</v>
      </c>
      <c r="U382" t="s">
        <v>547</v>
      </c>
      <c r="V382">
        <v>3736.18</v>
      </c>
      <c r="W382">
        <v>4393.5</v>
      </c>
      <c r="X382">
        <v>3736.18</v>
      </c>
      <c r="Z382" t="s">
        <v>589</v>
      </c>
      <c r="AA382" t="s">
        <v>549</v>
      </c>
      <c r="AB382" t="s">
        <v>748</v>
      </c>
      <c r="AC382" t="s">
        <v>550</v>
      </c>
      <c r="AD382" t="s">
        <v>551</v>
      </c>
      <c r="BR382" t="s">
        <v>549</v>
      </c>
    </row>
    <row r="383" spans="1:70">
      <c r="A383" t="s">
        <v>1947</v>
      </c>
      <c r="B383" t="s">
        <v>372</v>
      </c>
      <c r="C383" t="s">
        <v>662</v>
      </c>
      <c r="D383" t="s">
        <v>663</v>
      </c>
      <c r="E383" t="s">
        <v>373</v>
      </c>
      <c r="F383">
        <v>1</v>
      </c>
      <c r="H383" t="s">
        <v>1948</v>
      </c>
      <c r="R383" t="s">
        <v>1949</v>
      </c>
      <c r="S383">
        <v>1</v>
      </c>
      <c r="T383" t="s">
        <v>1053</v>
      </c>
      <c r="U383" t="s">
        <v>547</v>
      </c>
      <c r="V383">
        <v>5794.88</v>
      </c>
      <c r="W383">
        <v>6438.75</v>
      </c>
      <c r="Z383" t="s">
        <v>1054</v>
      </c>
      <c r="AA383" t="s">
        <v>549</v>
      </c>
      <c r="AB383" t="s">
        <v>748</v>
      </c>
      <c r="AC383" t="s">
        <v>550</v>
      </c>
      <c r="AD383" t="s">
        <v>551</v>
      </c>
      <c r="BR383" t="s">
        <v>549</v>
      </c>
    </row>
    <row r="384" spans="1:70">
      <c r="A384" t="s">
        <v>1951</v>
      </c>
      <c r="B384" t="s">
        <v>108</v>
      </c>
      <c r="C384" t="s">
        <v>992</v>
      </c>
      <c r="D384" t="s">
        <v>993</v>
      </c>
      <c r="E384" t="s">
        <v>110</v>
      </c>
      <c r="F384">
        <v>3</v>
      </c>
      <c r="G384" t="s">
        <v>539</v>
      </c>
      <c r="H384" t="s">
        <v>1952</v>
      </c>
      <c r="I384" t="s">
        <v>748</v>
      </c>
      <c r="J384" t="s">
        <v>542</v>
      </c>
      <c r="K384">
        <v>23482.5</v>
      </c>
      <c r="L384">
        <v>0</v>
      </c>
      <c r="M384" t="s">
        <v>1708</v>
      </c>
      <c r="N384" t="s">
        <v>544</v>
      </c>
      <c r="O384">
        <v>209.25</v>
      </c>
      <c r="P384">
        <v>21134.3</v>
      </c>
      <c r="Q384">
        <v>2348.1999999999998</v>
      </c>
      <c r="R384" t="s">
        <v>1953</v>
      </c>
      <c r="S384">
        <v>10</v>
      </c>
      <c r="T384" t="s">
        <v>584</v>
      </c>
      <c r="U384" t="s">
        <v>547</v>
      </c>
      <c r="V384">
        <v>2113.4299999999998</v>
      </c>
      <c r="W384">
        <v>2348.25</v>
      </c>
      <c r="Z384" t="s">
        <v>585</v>
      </c>
      <c r="AA384" t="s">
        <v>549</v>
      </c>
      <c r="AB384" t="s">
        <v>748</v>
      </c>
      <c r="AC384" t="s">
        <v>550</v>
      </c>
      <c r="AD384" t="s">
        <v>551</v>
      </c>
      <c r="AE384" t="s">
        <v>996</v>
      </c>
      <c r="AF384" t="s">
        <v>997</v>
      </c>
      <c r="AH384" t="s">
        <v>998</v>
      </c>
      <c r="AI384" t="s">
        <v>554</v>
      </c>
      <c r="AJ384" t="s">
        <v>999</v>
      </c>
      <c r="AK384" t="s">
        <v>556</v>
      </c>
      <c r="AM384" t="s">
        <v>1000</v>
      </c>
      <c r="AN384" t="s">
        <v>558</v>
      </c>
      <c r="AO384" t="s">
        <v>109</v>
      </c>
      <c r="AP384" t="s">
        <v>1001</v>
      </c>
      <c r="AQ384" t="s">
        <v>1002</v>
      </c>
      <c r="AR384" t="s">
        <v>1001</v>
      </c>
      <c r="AS384" t="s">
        <v>996</v>
      </c>
      <c r="AT384" t="s">
        <v>997</v>
      </c>
      <c r="AV384" t="s">
        <v>998</v>
      </c>
      <c r="AW384" t="s">
        <v>554</v>
      </c>
      <c r="AX384" t="s">
        <v>999</v>
      </c>
      <c r="AY384" t="s">
        <v>556</v>
      </c>
      <c r="BA384" t="s">
        <v>1000</v>
      </c>
      <c r="BB384" t="s">
        <v>558</v>
      </c>
      <c r="BC384" t="s">
        <v>109</v>
      </c>
      <c r="BD384" t="s">
        <v>1001</v>
      </c>
      <c r="BH384" t="s">
        <v>560</v>
      </c>
      <c r="BI384" t="s">
        <v>561</v>
      </c>
      <c r="BK384" t="s">
        <v>607</v>
      </c>
      <c r="BL384" t="s">
        <v>562</v>
      </c>
      <c r="BM384" t="s">
        <v>1954</v>
      </c>
      <c r="BN384">
        <v>1</v>
      </c>
      <c r="BO384">
        <v>209.25</v>
      </c>
      <c r="BR384" t="s">
        <v>549</v>
      </c>
    </row>
    <row r="385" spans="1:70">
      <c r="A385" t="s">
        <v>1955</v>
      </c>
      <c r="B385" t="s">
        <v>142</v>
      </c>
      <c r="C385" t="s">
        <v>1956</v>
      </c>
      <c r="D385" t="s">
        <v>1957</v>
      </c>
      <c r="E385" t="s">
        <v>152</v>
      </c>
      <c r="F385">
        <v>1</v>
      </c>
      <c r="G385" t="s">
        <v>539</v>
      </c>
      <c r="H385" t="s">
        <v>1958</v>
      </c>
      <c r="I385" t="s">
        <v>748</v>
      </c>
      <c r="J385" t="s">
        <v>542</v>
      </c>
      <c r="K385">
        <v>3026.97</v>
      </c>
      <c r="L385">
        <v>400</v>
      </c>
      <c r="M385" t="s">
        <v>570</v>
      </c>
      <c r="N385" t="s">
        <v>544</v>
      </c>
      <c r="O385">
        <v>96.64</v>
      </c>
      <c r="P385">
        <v>3426.97</v>
      </c>
      <c r="R385" t="s">
        <v>1959</v>
      </c>
      <c r="S385">
        <v>1</v>
      </c>
      <c r="T385" t="s">
        <v>632</v>
      </c>
      <c r="U385" t="s">
        <v>547</v>
      </c>
      <c r="V385">
        <v>1802.85</v>
      </c>
      <c r="W385">
        <v>2121</v>
      </c>
      <c r="X385">
        <v>1802.85</v>
      </c>
      <c r="Z385" t="s">
        <v>633</v>
      </c>
      <c r="AA385" t="s">
        <v>549</v>
      </c>
      <c r="AB385" t="s">
        <v>748</v>
      </c>
      <c r="AC385" t="s">
        <v>550</v>
      </c>
      <c r="AD385" t="s">
        <v>551</v>
      </c>
      <c r="AE385" t="s">
        <v>142</v>
      </c>
      <c r="AF385" t="s">
        <v>1960</v>
      </c>
      <c r="AG385" t="s">
        <v>1961</v>
      </c>
      <c r="AH385" t="s">
        <v>1962</v>
      </c>
      <c r="AI385" t="s">
        <v>1963</v>
      </c>
      <c r="AJ385" t="s">
        <v>1964</v>
      </c>
      <c r="AK385" t="s">
        <v>556</v>
      </c>
      <c r="AM385" t="s">
        <v>1965</v>
      </c>
      <c r="AN385" t="s">
        <v>558</v>
      </c>
      <c r="AO385" t="s">
        <v>143</v>
      </c>
      <c r="AP385" t="s">
        <v>1966</v>
      </c>
      <c r="AQ385" t="s">
        <v>1967</v>
      </c>
      <c r="AR385" t="s">
        <v>1179</v>
      </c>
      <c r="AS385" t="s">
        <v>142</v>
      </c>
      <c r="AT385" t="s">
        <v>1960</v>
      </c>
      <c r="AU385" t="s">
        <v>1961</v>
      </c>
      <c r="AV385" t="s">
        <v>1962</v>
      </c>
      <c r="AW385" t="s">
        <v>1963</v>
      </c>
      <c r="AX385" t="s">
        <v>1964</v>
      </c>
      <c r="AY385" t="s">
        <v>556</v>
      </c>
      <c r="BA385" t="s">
        <v>1965</v>
      </c>
      <c r="BB385" t="s">
        <v>558</v>
      </c>
      <c r="BC385" t="s">
        <v>143</v>
      </c>
      <c r="BD385" t="s">
        <v>1179</v>
      </c>
      <c r="BH385" t="s">
        <v>560</v>
      </c>
      <c r="BI385" t="s">
        <v>561</v>
      </c>
      <c r="BK385" t="s">
        <v>607</v>
      </c>
      <c r="BL385" t="s">
        <v>562</v>
      </c>
      <c r="BM385" t="s">
        <v>1968</v>
      </c>
      <c r="BN385">
        <v>1</v>
      </c>
      <c r="BO385">
        <v>29.97</v>
      </c>
      <c r="BP385">
        <v>20</v>
      </c>
      <c r="BQ385">
        <v>66.67</v>
      </c>
      <c r="BR385" t="s">
        <v>549</v>
      </c>
    </row>
    <row r="386" spans="1:70">
      <c r="A386" t="s">
        <v>1955</v>
      </c>
      <c r="B386" t="s">
        <v>142</v>
      </c>
      <c r="C386" t="s">
        <v>1956</v>
      </c>
      <c r="D386" t="s">
        <v>1957</v>
      </c>
      <c r="E386" t="s">
        <v>152</v>
      </c>
      <c r="F386">
        <v>1</v>
      </c>
      <c r="H386" t="s">
        <v>1958</v>
      </c>
      <c r="R386" t="s">
        <v>1959</v>
      </c>
      <c r="S386">
        <v>1</v>
      </c>
      <c r="T386" t="s">
        <v>818</v>
      </c>
      <c r="U386" t="s">
        <v>547</v>
      </c>
      <c r="V386">
        <v>656.5</v>
      </c>
      <c r="W386">
        <v>656.5</v>
      </c>
      <c r="Z386" t="s">
        <v>819</v>
      </c>
      <c r="AA386" t="s">
        <v>549</v>
      </c>
      <c r="AB386" t="s">
        <v>748</v>
      </c>
      <c r="AC386" t="s">
        <v>550</v>
      </c>
      <c r="AD386" t="s">
        <v>551</v>
      </c>
      <c r="BR386" t="s">
        <v>549</v>
      </c>
    </row>
    <row r="387" spans="1:70">
      <c r="A387" t="s">
        <v>1955</v>
      </c>
      <c r="B387" t="s">
        <v>142</v>
      </c>
      <c r="C387" t="s">
        <v>1956</v>
      </c>
      <c r="D387" t="s">
        <v>1957</v>
      </c>
      <c r="E387" t="s">
        <v>152</v>
      </c>
      <c r="F387">
        <v>1</v>
      </c>
      <c r="H387" t="s">
        <v>1958</v>
      </c>
      <c r="R387" t="s">
        <v>1959</v>
      </c>
      <c r="S387">
        <v>1</v>
      </c>
      <c r="T387" t="s">
        <v>946</v>
      </c>
      <c r="U387" t="s">
        <v>547</v>
      </c>
      <c r="V387">
        <v>567.62</v>
      </c>
      <c r="W387">
        <v>567.62</v>
      </c>
      <c r="Z387" t="s">
        <v>947</v>
      </c>
      <c r="AA387" t="s">
        <v>549</v>
      </c>
      <c r="AB387" t="s">
        <v>748</v>
      </c>
      <c r="AC387" t="s">
        <v>550</v>
      </c>
      <c r="AD387" t="s">
        <v>551</v>
      </c>
      <c r="BR387" t="s">
        <v>549</v>
      </c>
    </row>
    <row r="388" spans="1:70">
      <c r="A388" t="s">
        <v>1969</v>
      </c>
      <c r="B388" t="s">
        <v>261</v>
      </c>
      <c r="C388" t="s">
        <v>725</v>
      </c>
      <c r="D388" t="s">
        <v>1970</v>
      </c>
      <c r="E388" t="s">
        <v>263</v>
      </c>
      <c r="F388">
        <v>1</v>
      </c>
      <c r="G388" t="s">
        <v>539</v>
      </c>
      <c r="H388" t="s">
        <v>1971</v>
      </c>
      <c r="I388" t="s">
        <v>748</v>
      </c>
      <c r="J388" t="s">
        <v>542</v>
      </c>
      <c r="K388">
        <v>11046.9</v>
      </c>
      <c r="L388">
        <v>200</v>
      </c>
      <c r="M388" t="s">
        <v>543</v>
      </c>
      <c r="N388" t="s">
        <v>544</v>
      </c>
      <c r="O388">
        <v>137.24</v>
      </c>
      <c r="P388">
        <v>10694.6</v>
      </c>
      <c r="Q388">
        <v>552.29999999999995</v>
      </c>
      <c r="R388" t="s">
        <v>1972</v>
      </c>
      <c r="S388">
        <v>10</v>
      </c>
      <c r="T388" t="s">
        <v>1973</v>
      </c>
      <c r="U388" t="s">
        <v>547</v>
      </c>
      <c r="V388">
        <v>1049.46</v>
      </c>
      <c r="W388">
        <v>1104.69</v>
      </c>
      <c r="Z388" t="s">
        <v>1974</v>
      </c>
      <c r="AA388" t="s">
        <v>549</v>
      </c>
      <c r="AB388" t="s">
        <v>748</v>
      </c>
      <c r="AC388" t="s">
        <v>550</v>
      </c>
      <c r="AD388" t="s">
        <v>551</v>
      </c>
      <c r="AE388" t="s">
        <v>1975</v>
      </c>
      <c r="AF388" t="s">
        <v>1976</v>
      </c>
      <c r="AH388" t="s">
        <v>1977</v>
      </c>
      <c r="AI388" t="s">
        <v>1978</v>
      </c>
      <c r="AJ388" t="s">
        <v>1979</v>
      </c>
      <c r="AK388" t="s">
        <v>556</v>
      </c>
      <c r="AM388" t="s">
        <v>1980</v>
      </c>
      <c r="AN388" t="s">
        <v>558</v>
      </c>
      <c r="AO388" t="s">
        <v>262</v>
      </c>
      <c r="AP388" t="s">
        <v>1981</v>
      </c>
      <c r="AQ388" t="s">
        <v>1982</v>
      </c>
      <c r="AR388" t="s">
        <v>1983</v>
      </c>
      <c r="AS388" t="s">
        <v>1975</v>
      </c>
      <c r="AT388" t="s">
        <v>1976</v>
      </c>
      <c r="AV388" t="s">
        <v>1977</v>
      </c>
      <c r="AW388" t="s">
        <v>1978</v>
      </c>
      <c r="AX388" t="s">
        <v>1979</v>
      </c>
      <c r="AY388" t="s">
        <v>556</v>
      </c>
      <c r="BA388" t="s">
        <v>1980</v>
      </c>
      <c r="BB388" t="s">
        <v>558</v>
      </c>
      <c r="BC388" t="s">
        <v>262</v>
      </c>
      <c r="BD388" t="s">
        <v>1983</v>
      </c>
      <c r="BH388" t="s">
        <v>560</v>
      </c>
      <c r="BI388" t="s">
        <v>561</v>
      </c>
      <c r="BK388" t="s">
        <v>607</v>
      </c>
      <c r="BL388" t="s">
        <v>562</v>
      </c>
      <c r="BM388" t="s">
        <v>1984</v>
      </c>
      <c r="BN388">
        <v>1</v>
      </c>
      <c r="BO388">
        <v>103.91</v>
      </c>
      <c r="BP388">
        <v>20</v>
      </c>
      <c r="BQ388">
        <v>33.33</v>
      </c>
      <c r="BR388" t="s">
        <v>549</v>
      </c>
    </row>
    <row r="389" spans="1:70">
      <c r="A389" t="s">
        <v>1985</v>
      </c>
      <c r="B389" t="s">
        <v>32</v>
      </c>
      <c r="C389" t="s">
        <v>567</v>
      </c>
      <c r="D389" t="s">
        <v>568</v>
      </c>
      <c r="E389" t="s">
        <v>34</v>
      </c>
      <c r="F389">
        <v>3</v>
      </c>
      <c r="G389" t="s">
        <v>539</v>
      </c>
      <c r="H389" t="s">
        <v>1986</v>
      </c>
      <c r="I389" t="s">
        <v>748</v>
      </c>
      <c r="J389" t="s">
        <v>542</v>
      </c>
      <c r="K389">
        <v>55476.74</v>
      </c>
      <c r="L389">
        <v>0</v>
      </c>
      <c r="M389" t="s">
        <v>1708</v>
      </c>
      <c r="N389" t="s">
        <v>544</v>
      </c>
      <c r="O389">
        <v>541.65</v>
      </c>
      <c r="P389">
        <v>54706.59</v>
      </c>
      <c r="Q389">
        <v>770.15</v>
      </c>
      <c r="R389" t="s">
        <v>1987</v>
      </c>
      <c r="S389">
        <v>2</v>
      </c>
      <c r="T389" t="s">
        <v>572</v>
      </c>
      <c r="U389" t="s">
        <v>547</v>
      </c>
      <c r="V389">
        <v>5419.28</v>
      </c>
      <c r="W389">
        <v>6375.63</v>
      </c>
      <c r="X389">
        <v>5419.28</v>
      </c>
      <c r="Z389" t="s">
        <v>573</v>
      </c>
      <c r="AA389" t="s">
        <v>549</v>
      </c>
      <c r="AB389" t="s">
        <v>748</v>
      </c>
      <c r="AC389" t="s">
        <v>550</v>
      </c>
      <c r="AD389" t="s">
        <v>551</v>
      </c>
      <c r="AE389" t="s">
        <v>32</v>
      </c>
      <c r="AF389" t="s">
        <v>574</v>
      </c>
      <c r="AG389" t="s">
        <v>575</v>
      </c>
      <c r="AH389" t="s">
        <v>576</v>
      </c>
      <c r="AI389" t="s">
        <v>577</v>
      </c>
      <c r="AJ389" t="s">
        <v>578</v>
      </c>
      <c r="AK389" t="s">
        <v>556</v>
      </c>
      <c r="AM389" t="s">
        <v>579</v>
      </c>
      <c r="AN389" t="s">
        <v>558</v>
      </c>
      <c r="AO389" t="s">
        <v>33</v>
      </c>
      <c r="AP389" t="s">
        <v>580</v>
      </c>
      <c r="AQ389" t="s">
        <v>581</v>
      </c>
      <c r="AR389" t="s">
        <v>582</v>
      </c>
      <c r="AS389" t="s">
        <v>32</v>
      </c>
      <c r="AT389" t="s">
        <v>574</v>
      </c>
      <c r="AU389" t="s">
        <v>575</v>
      </c>
      <c r="AV389" t="s">
        <v>576</v>
      </c>
      <c r="AW389" t="s">
        <v>577</v>
      </c>
      <c r="AX389" t="s">
        <v>578</v>
      </c>
      <c r="AY389" t="s">
        <v>556</v>
      </c>
      <c r="BA389" t="s">
        <v>579</v>
      </c>
      <c r="BB389" t="s">
        <v>558</v>
      </c>
      <c r="BC389" t="s">
        <v>33</v>
      </c>
      <c r="BD389" t="s">
        <v>582</v>
      </c>
      <c r="BH389" t="s">
        <v>560</v>
      </c>
      <c r="BI389" t="s">
        <v>561</v>
      </c>
      <c r="BK389" t="s">
        <v>607</v>
      </c>
      <c r="BL389" t="s">
        <v>562</v>
      </c>
      <c r="BM389" t="s">
        <v>1988</v>
      </c>
      <c r="BN389">
        <v>1</v>
      </c>
      <c r="BO389">
        <v>541.65</v>
      </c>
      <c r="BR389" t="s">
        <v>549</v>
      </c>
    </row>
    <row r="390" spans="1:70">
      <c r="A390" t="s">
        <v>1985</v>
      </c>
      <c r="B390" t="s">
        <v>32</v>
      </c>
      <c r="C390" t="s">
        <v>567</v>
      </c>
      <c r="D390" t="s">
        <v>568</v>
      </c>
      <c r="E390" t="s">
        <v>34</v>
      </c>
      <c r="F390">
        <v>3</v>
      </c>
      <c r="H390" t="s">
        <v>1986</v>
      </c>
      <c r="R390" t="s">
        <v>1987</v>
      </c>
      <c r="S390">
        <v>10</v>
      </c>
      <c r="T390" t="s">
        <v>1720</v>
      </c>
      <c r="U390" t="s">
        <v>547</v>
      </c>
      <c r="V390">
        <v>1151.4000000000001</v>
      </c>
      <c r="W390">
        <v>1212</v>
      </c>
      <c r="Z390" t="s">
        <v>1721</v>
      </c>
      <c r="AA390" t="s">
        <v>549</v>
      </c>
      <c r="AB390" t="s">
        <v>748</v>
      </c>
      <c r="AC390" t="s">
        <v>550</v>
      </c>
      <c r="AD390" t="s">
        <v>551</v>
      </c>
      <c r="BR390" t="s">
        <v>549</v>
      </c>
    </row>
    <row r="391" spans="1:70">
      <c r="A391" t="s">
        <v>1985</v>
      </c>
      <c r="B391" t="s">
        <v>32</v>
      </c>
      <c r="C391" t="s">
        <v>567</v>
      </c>
      <c r="D391" t="s">
        <v>568</v>
      </c>
      <c r="E391" t="s">
        <v>34</v>
      </c>
      <c r="F391">
        <v>3</v>
      </c>
      <c r="H391" t="s">
        <v>1986</v>
      </c>
      <c r="R391" t="s">
        <v>1987</v>
      </c>
      <c r="S391">
        <v>6</v>
      </c>
      <c r="T391" t="s">
        <v>586</v>
      </c>
      <c r="U391" t="s">
        <v>547</v>
      </c>
      <c r="V391">
        <v>3831.05</v>
      </c>
      <c r="W391">
        <v>4507.13</v>
      </c>
      <c r="X391">
        <v>3831.05</v>
      </c>
      <c r="Z391" t="s">
        <v>587</v>
      </c>
      <c r="AA391" t="s">
        <v>549</v>
      </c>
      <c r="AB391" t="s">
        <v>748</v>
      </c>
      <c r="AC391" t="s">
        <v>550</v>
      </c>
      <c r="AD391" t="s">
        <v>551</v>
      </c>
      <c r="BR391" t="s">
        <v>549</v>
      </c>
    </row>
    <row r="392" spans="1:70">
      <c r="A392" t="s">
        <v>1985</v>
      </c>
      <c r="B392" t="s">
        <v>32</v>
      </c>
      <c r="C392" t="s">
        <v>567</v>
      </c>
      <c r="D392" t="s">
        <v>568</v>
      </c>
      <c r="E392" t="s">
        <v>34</v>
      </c>
      <c r="F392">
        <v>3</v>
      </c>
      <c r="H392" t="s">
        <v>1986</v>
      </c>
      <c r="R392" t="s">
        <v>1987</v>
      </c>
      <c r="S392">
        <v>5</v>
      </c>
      <c r="T392" t="s">
        <v>818</v>
      </c>
      <c r="U392" t="s">
        <v>547</v>
      </c>
      <c r="V392">
        <v>623.66999999999996</v>
      </c>
      <c r="W392">
        <v>656.5</v>
      </c>
      <c r="Z392" t="s">
        <v>819</v>
      </c>
      <c r="AA392" t="s">
        <v>549</v>
      </c>
      <c r="AB392" t="s">
        <v>748</v>
      </c>
      <c r="AC392" t="s">
        <v>550</v>
      </c>
      <c r="AD392" t="s">
        <v>551</v>
      </c>
      <c r="BR392" t="s">
        <v>549</v>
      </c>
    </row>
    <row r="393" spans="1:70">
      <c r="A393" t="s">
        <v>1985</v>
      </c>
      <c r="B393" t="s">
        <v>32</v>
      </c>
      <c r="C393" t="s">
        <v>567</v>
      </c>
      <c r="D393" t="s">
        <v>568</v>
      </c>
      <c r="E393" t="s">
        <v>34</v>
      </c>
      <c r="F393">
        <v>3</v>
      </c>
      <c r="H393" t="s">
        <v>1986</v>
      </c>
      <c r="R393" t="s">
        <v>1987</v>
      </c>
      <c r="S393">
        <v>1</v>
      </c>
      <c r="T393" t="s">
        <v>862</v>
      </c>
      <c r="U393" t="s">
        <v>547</v>
      </c>
      <c r="V393">
        <v>6249.38</v>
      </c>
      <c r="W393">
        <v>8332.5</v>
      </c>
      <c r="X393">
        <v>6249.38</v>
      </c>
      <c r="Z393" t="s">
        <v>863</v>
      </c>
      <c r="AA393" t="s">
        <v>549</v>
      </c>
      <c r="AB393" t="s">
        <v>748</v>
      </c>
      <c r="AC393" t="s">
        <v>550</v>
      </c>
      <c r="AD393" t="s">
        <v>551</v>
      </c>
      <c r="BR393" t="s">
        <v>549</v>
      </c>
    </row>
    <row r="394" spans="1:70">
      <c r="A394" t="s">
        <v>1989</v>
      </c>
      <c r="B394" t="s">
        <v>43</v>
      </c>
      <c r="C394" t="s">
        <v>537</v>
      </c>
      <c r="D394" t="s">
        <v>538</v>
      </c>
      <c r="E394" t="s">
        <v>45</v>
      </c>
      <c r="F394">
        <v>1</v>
      </c>
      <c r="G394" t="s">
        <v>539</v>
      </c>
      <c r="H394" t="s">
        <v>1990</v>
      </c>
      <c r="I394" t="s">
        <v>748</v>
      </c>
      <c r="J394" t="s">
        <v>542</v>
      </c>
      <c r="K394">
        <v>5605.5</v>
      </c>
      <c r="L394">
        <v>400</v>
      </c>
      <c r="M394" t="s">
        <v>570</v>
      </c>
      <c r="N394" t="s">
        <v>544</v>
      </c>
      <c r="O394">
        <v>122.17</v>
      </c>
      <c r="P394">
        <v>6005.5</v>
      </c>
      <c r="R394" t="s">
        <v>1991</v>
      </c>
      <c r="S394">
        <v>1</v>
      </c>
      <c r="T394" t="s">
        <v>719</v>
      </c>
      <c r="U394" t="s">
        <v>547</v>
      </c>
      <c r="V394">
        <v>2575.5</v>
      </c>
      <c r="W394">
        <v>2575.5</v>
      </c>
      <c r="Z394" t="s">
        <v>720</v>
      </c>
      <c r="AA394" t="s">
        <v>549</v>
      </c>
      <c r="AB394" t="s">
        <v>748</v>
      </c>
      <c r="AC394" t="s">
        <v>550</v>
      </c>
      <c r="AD394" t="s">
        <v>551</v>
      </c>
      <c r="AE394" t="s">
        <v>43</v>
      </c>
      <c r="AF394" t="s">
        <v>1992</v>
      </c>
      <c r="AI394" t="s">
        <v>554</v>
      </c>
      <c r="AJ394" t="s">
        <v>555</v>
      </c>
      <c r="AK394" t="s">
        <v>556</v>
      </c>
      <c r="AM394" t="s">
        <v>557</v>
      </c>
      <c r="AN394" t="s">
        <v>558</v>
      </c>
      <c r="AO394" t="s">
        <v>44</v>
      </c>
      <c r="AP394" t="s">
        <v>549</v>
      </c>
      <c r="AQ394" t="s">
        <v>549</v>
      </c>
      <c r="AR394" t="s">
        <v>559</v>
      </c>
      <c r="AS394" t="s">
        <v>43</v>
      </c>
      <c r="AT394" t="s">
        <v>1992</v>
      </c>
      <c r="AW394" t="s">
        <v>554</v>
      </c>
      <c r="AX394" t="s">
        <v>555</v>
      </c>
      <c r="AY394" t="s">
        <v>556</v>
      </c>
      <c r="BA394" t="s">
        <v>557</v>
      </c>
      <c r="BB394" t="s">
        <v>558</v>
      </c>
      <c r="BC394" t="s">
        <v>44</v>
      </c>
      <c r="BD394" t="s">
        <v>559</v>
      </c>
      <c r="BH394" t="s">
        <v>560</v>
      </c>
      <c r="BI394" t="s">
        <v>561</v>
      </c>
      <c r="BK394" t="s">
        <v>607</v>
      </c>
      <c r="BL394" t="s">
        <v>562</v>
      </c>
      <c r="BM394" t="s">
        <v>1993</v>
      </c>
      <c r="BN394">
        <v>1</v>
      </c>
      <c r="BO394">
        <v>55.5</v>
      </c>
      <c r="BP394">
        <v>20</v>
      </c>
      <c r="BQ394">
        <v>66.67</v>
      </c>
      <c r="BR394" t="s">
        <v>549</v>
      </c>
    </row>
    <row r="395" spans="1:70">
      <c r="A395" t="s">
        <v>1989</v>
      </c>
      <c r="B395" t="s">
        <v>43</v>
      </c>
      <c r="C395" t="s">
        <v>537</v>
      </c>
      <c r="D395" t="s">
        <v>538</v>
      </c>
      <c r="E395" t="s">
        <v>45</v>
      </c>
      <c r="F395">
        <v>1</v>
      </c>
      <c r="H395" t="s">
        <v>1990</v>
      </c>
      <c r="R395" t="s">
        <v>1991</v>
      </c>
      <c r="S395">
        <v>1</v>
      </c>
      <c r="T395" t="s">
        <v>546</v>
      </c>
      <c r="U395" t="s">
        <v>547</v>
      </c>
      <c r="V395">
        <v>3030</v>
      </c>
      <c r="W395">
        <v>3030</v>
      </c>
      <c r="Z395" t="s">
        <v>548</v>
      </c>
      <c r="AA395" t="s">
        <v>549</v>
      </c>
      <c r="AB395" t="s">
        <v>748</v>
      </c>
      <c r="AC395" t="s">
        <v>550</v>
      </c>
      <c r="AD395" t="s">
        <v>551</v>
      </c>
      <c r="BR395" t="s">
        <v>549</v>
      </c>
    </row>
    <row r="396" spans="1:70">
      <c r="A396" t="s">
        <v>1994</v>
      </c>
      <c r="B396" t="s">
        <v>274</v>
      </c>
      <c r="C396" t="s">
        <v>591</v>
      </c>
      <c r="D396" t="s">
        <v>592</v>
      </c>
      <c r="E396" t="s">
        <v>276</v>
      </c>
      <c r="F396">
        <v>1</v>
      </c>
      <c r="G396" t="s">
        <v>539</v>
      </c>
      <c r="H396" t="s">
        <v>1995</v>
      </c>
      <c r="I396" t="s">
        <v>748</v>
      </c>
      <c r="J396" t="s">
        <v>542</v>
      </c>
      <c r="K396">
        <v>23758.61</v>
      </c>
      <c r="L396">
        <v>0</v>
      </c>
      <c r="M396" t="s">
        <v>1708</v>
      </c>
      <c r="N396" t="s">
        <v>544</v>
      </c>
      <c r="O396">
        <v>227.17</v>
      </c>
      <c r="P396">
        <v>22944.31</v>
      </c>
      <c r="Q396">
        <v>814.3</v>
      </c>
      <c r="R396" t="s">
        <v>1996</v>
      </c>
      <c r="S396">
        <v>2</v>
      </c>
      <c r="T396" t="s">
        <v>588</v>
      </c>
      <c r="U396" t="s">
        <v>547</v>
      </c>
      <c r="V396">
        <v>3736.18</v>
      </c>
      <c r="W396">
        <v>4393.5</v>
      </c>
      <c r="X396">
        <v>3736.18</v>
      </c>
      <c r="Z396" t="s">
        <v>589</v>
      </c>
      <c r="AA396" t="s">
        <v>549</v>
      </c>
      <c r="AB396" t="s">
        <v>748</v>
      </c>
      <c r="AC396" t="s">
        <v>550</v>
      </c>
      <c r="AD396" t="s">
        <v>551</v>
      </c>
      <c r="AE396" t="s">
        <v>597</v>
      </c>
      <c r="AF396" t="s">
        <v>598</v>
      </c>
      <c r="AG396" t="s">
        <v>599</v>
      </c>
      <c r="AH396" t="s">
        <v>600</v>
      </c>
      <c r="AI396" t="s">
        <v>601</v>
      </c>
      <c r="AJ396" t="s">
        <v>602</v>
      </c>
      <c r="AK396" t="s">
        <v>556</v>
      </c>
      <c r="AM396" t="s">
        <v>603</v>
      </c>
      <c r="AN396" t="s">
        <v>558</v>
      </c>
      <c r="AO396" t="s">
        <v>275</v>
      </c>
      <c r="AP396" t="s">
        <v>604</v>
      </c>
      <c r="AQ396" t="s">
        <v>605</v>
      </c>
      <c r="AR396" t="s">
        <v>606</v>
      </c>
      <c r="AS396" t="s">
        <v>597</v>
      </c>
      <c r="AT396" t="s">
        <v>598</v>
      </c>
      <c r="AU396" t="s">
        <v>599</v>
      </c>
      <c r="AV396" t="s">
        <v>600</v>
      </c>
      <c r="AW396" t="s">
        <v>601</v>
      </c>
      <c r="AX396" t="s">
        <v>602</v>
      </c>
      <c r="AY396" t="s">
        <v>556</v>
      </c>
      <c r="BA396" t="s">
        <v>603</v>
      </c>
      <c r="BB396" t="s">
        <v>558</v>
      </c>
      <c r="BC396" t="s">
        <v>275</v>
      </c>
      <c r="BD396" t="s">
        <v>606</v>
      </c>
      <c r="BH396" t="s">
        <v>560</v>
      </c>
      <c r="BI396" t="s">
        <v>561</v>
      </c>
      <c r="BK396" t="s">
        <v>607</v>
      </c>
      <c r="BL396" t="s">
        <v>562</v>
      </c>
      <c r="BM396" t="s">
        <v>1997</v>
      </c>
      <c r="BN396">
        <v>1</v>
      </c>
      <c r="BO396">
        <v>227.17</v>
      </c>
      <c r="BR396" t="s">
        <v>549</v>
      </c>
    </row>
    <row r="397" spans="1:70">
      <c r="A397" t="s">
        <v>1994</v>
      </c>
      <c r="B397" t="s">
        <v>274</v>
      </c>
      <c r="C397" t="s">
        <v>591</v>
      </c>
      <c r="D397" t="s">
        <v>592</v>
      </c>
      <c r="E397" t="s">
        <v>276</v>
      </c>
      <c r="F397">
        <v>1</v>
      </c>
      <c r="H397" t="s">
        <v>1995</v>
      </c>
      <c r="R397" t="s">
        <v>1996</v>
      </c>
      <c r="S397">
        <v>3</v>
      </c>
      <c r="T397" t="s">
        <v>1047</v>
      </c>
      <c r="U397" t="s">
        <v>547</v>
      </c>
      <c r="V397">
        <v>3957.94</v>
      </c>
      <c r="W397">
        <v>4166.25</v>
      </c>
      <c r="Z397" t="s">
        <v>610</v>
      </c>
      <c r="AA397" t="s">
        <v>549</v>
      </c>
      <c r="AB397" t="s">
        <v>748</v>
      </c>
      <c r="AC397" t="s">
        <v>550</v>
      </c>
      <c r="AD397" t="s">
        <v>551</v>
      </c>
      <c r="BR397" t="s">
        <v>549</v>
      </c>
    </row>
    <row r="398" spans="1:70">
      <c r="A398" t="s">
        <v>1994</v>
      </c>
      <c r="B398" t="s">
        <v>274</v>
      </c>
      <c r="C398" t="s">
        <v>591</v>
      </c>
      <c r="D398" t="s">
        <v>592</v>
      </c>
      <c r="E398" t="s">
        <v>276</v>
      </c>
      <c r="F398">
        <v>1</v>
      </c>
      <c r="H398" t="s">
        <v>1995</v>
      </c>
      <c r="R398" t="s">
        <v>1996</v>
      </c>
      <c r="S398">
        <v>1</v>
      </c>
      <c r="T398" t="s">
        <v>584</v>
      </c>
      <c r="U398" t="s">
        <v>547</v>
      </c>
      <c r="V398">
        <v>2230.84</v>
      </c>
      <c r="W398">
        <v>2348.25</v>
      </c>
      <c r="Z398" t="s">
        <v>585</v>
      </c>
      <c r="AA398" t="s">
        <v>549</v>
      </c>
      <c r="AB398" t="s">
        <v>748</v>
      </c>
      <c r="AC398" t="s">
        <v>550</v>
      </c>
      <c r="AD398" t="s">
        <v>551</v>
      </c>
      <c r="BR398" t="s">
        <v>549</v>
      </c>
    </row>
    <row r="399" spans="1:70">
      <c r="A399" t="s">
        <v>1994</v>
      </c>
      <c r="B399" t="s">
        <v>274</v>
      </c>
      <c r="C399" t="s">
        <v>591</v>
      </c>
      <c r="D399" t="s">
        <v>592</v>
      </c>
      <c r="E399" t="s">
        <v>276</v>
      </c>
      <c r="F399">
        <v>1</v>
      </c>
      <c r="H399" t="s">
        <v>1995</v>
      </c>
      <c r="R399" t="s">
        <v>1996</v>
      </c>
      <c r="S399">
        <v>1</v>
      </c>
      <c r="T399" t="s">
        <v>1372</v>
      </c>
      <c r="U399" t="s">
        <v>547</v>
      </c>
      <c r="V399">
        <v>1367.29</v>
      </c>
      <c r="W399">
        <v>1439.25</v>
      </c>
      <c r="Z399" t="s">
        <v>1373</v>
      </c>
      <c r="AA399" t="s">
        <v>549</v>
      </c>
      <c r="AB399" t="s">
        <v>748</v>
      </c>
      <c r="AC399" t="s">
        <v>550</v>
      </c>
      <c r="AD399" t="s">
        <v>551</v>
      </c>
      <c r="BR399" t="s">
        <v>549</v>
      </c>
    </row>
    <row r="400" spans="1:70">
      <c r="A400" t="s">
        <v>1998</v>
      </c>
      <c r="B400" t="s">
        <v>243</v>
      </c>
      <c r="C400" t="s">
        <v>1999</v>
      </c>
      <c r="D400" t="s">
        <v>2000</v>
      </c>
      <c r="E400" t="s">
        <v>245</v>
      </c>
      <c r="F400">
        <v>1</v>
      </c>
      <c r="G400" t="s">
        <v>539</v>
      </c>
      <c r="H400" t="s">
        <v>2001</v>
      </c>
      <c r="I400" t="s">
        <v>748</v>
      </c>
      <c r="J400" t="s">
        <v>542</v>
      </c>
      <c r="K400">
        <v>6033.49</v>
      </c>
      <c r="L400">
        <v>400</v>
      </c>
      <c r="M400" t="s">
        <v>570</v>
      </c>
      <c r="N400" t="s">
        <v>544</v>
      </c>
      <c r="O400">
        <v>126.41</v>
      </c>
      <c r="P400">
        <v>6433.49</v>
      </c>
      <c r="R400" t="s">
        <v>2002</v>
      </c>
      <c r="S400">
        <v>1</v>
      </c>
      <c r="T400" t="s">
        <v>632</v>
      </c>
      <c r="U400" t="s">
        <v>547</v>
      </c>
      <c r="V400">
        <v>1802.85</v>
      </c>
      <c r="W400">
        <v>2121</v>
      </c>
      <c r="X400">
        <v>1802.85</v>
      </c>
      <c r="Z400" t="s">
        <v>633</v>
      </c>
      <c r="AA400" t="s">
        <v>549</v>
      </c>
      <c r="AB400" t="s">
        <v>748</v>
      </c>
      <c r="AC400" t="s">
        <v>550</v>
      </c>
      <c r="AD400" t="s">
        <v>551</v>
      </c>
      <c r="AE400" t="s">
        <v>243</v>
      </c>
      <c r="AF400" t="s">
        <v>2003</v>
      </c>
      <c r="AG400" t="s">
        <v>2004</v>
      </c>
      <c r="AH400" t="s">
        <v>2005</v>
      </c>
      <c r="AI400" t="s">
        <v>577</v>
      </c>
      <c r="AJ400" t="s">
        <v>2006</v>
      </c>
      <c r="AK400" t="s">
        <v>556</v>
      </c>
      <c r="AM400" t="s">
        <v>2007</v>
      </c>
      <c r="AN400" t="s">
        <v>558</v>
      </c>
      <c r="AO400" t="s">
        <v>244</v>
      </c>
      <c r="AP400" t="s">
        <v>2008</v>
      </c>
      <c r="AQ400" t="s">
        <v>2009</v>
      </c>
      <c r="AR400" t="s">
        <v>2008</v>
      </c>
      <c r="AS400" t="s">
        <v>243</v>
      </c>
      <c r="AT400" t="s">
        <v>2003</v>
      </c>
      <c r="AU400" t="s">
        <v>2004</v>
      </c>
      <c r="AV400" t="s">
        <v>2005</v>
      </c>
      <c r="AW400" t="s">
        <v>577</v>
      </c>
      <c r="AX400" t="s">
        <v>2006</v>
      </c>
      <c r="AY400" t="s">
        <v>556</v>
      </c>
      <c r="BA400" t="s">
        <v>2007</v>
      </c>
      <c r="BB400" t="s">
        <v>558</v>
      </c>
      <c r="BC400" t="s">
        <v>244</v>
      </c>
      <c r="BD400" t="s">
        <v>2008</v>
      </c>
      <c r="BH400" t="s">
        <v>560</v>
      </c>
      <c r="BI400" t="s">
        <v>561</v>
      </c>
      <c r="BK400" t="s">
        <v>607</v>
      </c>
      <c r="BL400" t="s">
        <v>562</v>
      </c>
      <c r="BM400" t="s">
        <v>2010</v>
      </c>
      <c r="BN400">
        <v>1</v>
      </c>
      <c r="BO400">
        <v>59.74</v>
      </c>
      <c r="BP400">
        <v>20</v>
      </c>
      <c r="BQ400">
        <v>66.67</v>
      </c>
      <c r="BR400" t="s">
        <v>549</v>
      </c>
    </row>
    <row r="401" spans="1:70">
      <c r="A401" t="s">
        <v>1998</v>
      </c>
      <c r="B401" t="s">
        <v>243</v>
      </c>
      <c r="C401" t="s">
        <v>1999</v>
      </c>
      <c r="D401" t="s">
        <v>2000</v>
      </c>
      <c r="E401" t="s">
        <v>245</v>
      </c>
      <c r="F401">
        <v>1</v>
      </c>
      <c r="H401" t="s">
        <v>2001</v>
      </c>
      <c r="R401" t="s">
        <v>2002</v>
      </c>
      <c r="S401">
        <v>1</v>
      </c>
      <c r="T401" t="s">
        <v>2011</v>
      </c>
      <c r="U401" t="s">
        <v>547</v>
      </c>
      <c r="V401">
        <v>780.23</v>
      </c>
      <c r="W401">
        <v>780.23</v>
      </c>
      <c r="Z401" t="s">
        <v>2012</v>
      </c>
      <c r="AA401" t="s">
        <v>549</v>
      </c>
      <c r="AB401" t="s">
        <v>748</v>
      </c>
      <c r="AC401" t="s">
        <v>550</v>
      </c>
      <c r="AD401" t="s">
        <v>551</v>
      </c>
      <c r="BR401" t="s">
        <v>549</v>
      </c>
    </row>
    <row r="402" spans="1:70">
      <c r="A402" t="s">
        <v>1998</v>
      </c>
      <c r="B402" t="s">
        <v>243</v>
      </c>
      <c r="C402" t="s">
        <v>1999</v>
      </c>
      <c r="D402" t="s">
        <v>2000</v>
      </c>
      <c r="E402" t="s">
        <v>245</v>
      </c>
      <c r="F402">
        <v>1</v>
      </c>
      <c r="H402" t="s">
        <v>2001</v>
      </c>
      <c r="R402" t="s">
        <v>2002</v>
      </c>
      <c r="S402">
        <v>1</v>
      </c>
      <c r="T402" t="s">
        <v>1398</v>
      </c>
      <c r="U402" t="s">
        <v>547</v>
      </c>
      <c r="V402">
        <v>1969.5</v>
      </c>
      <c r="W402">
        <v>1969.5</v>
      </c>
      <c r="Z402" t="s">
        <v>1399</v>
      </c>
      <c r="AA402" t="s">
        <v>549</v>
      </c>
      <c r="AB402" t="s">
        <v>748</v>
      </c>
      <c r="AC402" t="s">
        <v>550</v>
      </c>
      <c r="AD402" t="s">
        <v>551</v>
      </c>
      <c r="BR402" t="s">
        <v>549</v>
      </c>
    </row>
    <row r="403" spans="1:70">
      <c r="A403" t="s">
        <v>1998</v>
      </c>
      <c r="B403" t="s">
        <v>243</v>
      </c>
      <c r="C403" t="s">
        <v>1999</v>
      </c>
      <c r="D403" t="s">
        <v>2000</v>
      </c>
      <c r="E403" t="s">
        <v>245</v>
      </c>
      <c r="F403">
        <v>1</v>
      </c>
      <c r="H403" t="s">
        <v>2001</v>
      </c>
      <c r="R403" t="s">
        <v>2002</v>
      </c>
      <c r="S403">
        <v>1</v>
      </c>
      <c r="T403" t="s">
        <v>1268</v>
      </c>
      <c r="U403" t="s">
        <v>547</v>
      </c>
      <c r="V403">
        <v>1480.91</v>
      </c>
      <c r="W403">
        <v>1742.25</v>
      </c>
      <c r="X403">
        <v>1480.91</v>
      </c>
      <c r="Z403" t="s">
        <v>1269</v>
      </c>
      <c r="AA403" t="s">
        <v>549</v>
      </c>
      <c r="AB403" t="s">
        <v>748</v>
      </c>
      <c r="AC403" t="s">
        <v>550</v>
      </c>
      <c r="AD403" t="s">
        <v>551</v>
      </c>
      <c r="BR403" t="s">
        <v>549</v>
      </c>
    </row>
    <row r="404" spans="1:70">
      <c r="A404" t="s">
        <v>2013</v>
      </c>
      <c r="B404" t="s">
        <v>222</v>
      </c>
      <c r="C404" t="s">
        <v>2014</v>
      </c>
      <c r="D404" t="s">
        <v>2015</v>
      </c>
      <c r="E404" t="s">
        <v>224</v>
      </c>
      <c r="F404">
        <v>1</v>
      </c>
      <c r="G404" t="s">
        <v>539</v>
      </c>
      <c r="H404" t="s">
        <v>2016</v>
      </c>
      <c r="I404" t="s">
        <v>748</v>
      </c>
      <c r="J404" t="s">
        <v>542</v>
      </c>
      <c r="K404">
        <v>5400.47</v>
      </c>
      <c r="L404">
        <v>400</v>
      </c>
      <c r="M404" t="s">
        <v>570</v>
      </c>
      <c r="N404" t="s">
        <v>544</v>
      </c>
      <c r="O404">
        <v>120.14</v>
      </c>
      <c r="P404">
        <v>5800.47</v>
      </c>
      <c r="R404" t="s">
        <v>2017</v>
      </c>
      <c r="S404">
        <v>1</v>
      </c>
      <c r="T404" t="s">
        <v>946</v>
      </c>
      <c r="U404" t="s">
        <v>547</v>
      </c>
      <c r="V404">
        <v>567.62</v>
      </c>
      <c r="W404">
        <v>567.62</v>
      </c>
      <c r="Z404" t="s">
        <v>947</v>
      </c>
      <c r="AA404" t="s">
        <v>549</v>
      </c>
      <c r="AB404" t="s">
        <v>748</v>
      </c>
      <c r="AC404" t="s">
        <v>550</v>
      </c>
      <c r="AD404" t="s">
        <v>551</v>
      </c>
      <c r="AE404" t="s">
        <v>222</v>
      </c>
      <c r="AF404" t="s">
        <v>2018</v>
      </c>
      <c r="AI404" t="s">
        <v>554</v>
      </c>
      <c r="AJ404" t="s">
        <v>2019</v>
      </c>
      <c r="AK404" t="s">
        <v>556</v>
      </c>
      <c r="AM404" t="s">
        <v>2020</v>
      </c>
      <c r="AN404" t="s">
        <v>558</v>
      </c>
      <c r="AO404" t="s">
        <v>223</v>
      </c>
      <c r="AP404" t="s">
        <v>549</v>
      </c>
      <c r="AQ404" t="s">
        <v>549</v>
      </c>
      <c r="AR404" t="s">
        <v>2021</v>
      </c>
      <c r="AS404" t="s">
        <v>222</v>
      </c>
      <c r="AT404" t="s">
        <v>2018</v>
      </c>
      <c r="AW404" t="s">
        <v>554</v>
      </c>
      <c r="AX404" t="s">
        <v>2019</v>
      </c>
      <c r="AY404" t="s">
        <v>556</v>
      </c>
      <c r="BA404" t="s">
        <v>2020</v>
      </c>
      <c r="BB404" t="s">
        <v>558</v>
      </c>
      <c r="BC404" t="s">
        <v>223</v>
      </c>
      <c r="BD404" t="s">
        <v>2021</v>
      </c>
      <c r="BH404" t="s">
        <v>560</v>
      </c>
      <c r="BI404" t="s">
        <v>561</v>
      </c>
      <c r="BK404" t="s">
        <v>607</v>
      </c>
      <c r="BL404" t="s">
        <v>562</v>
      </c>
      <c r="BM404" t="s">
        <v>2022</v>
      </c>
      <c r="BN404">
        <v>1</v>
      </c>
      <c r="BO404">
        <v>53.47</v>
      </c>
      <c r="BP404">
        <v>20</v>
      </c>
      <c r="BQ404">
        <v>66.67</v>
      </c>
      <c r="BR404" t="s">
        <v>549</v>
      </c>
    </row>
    <row r="405" spans="1:70">
      <c r="A405" t="s">
        <v>2013</v>
      </c>
      <c r="B405" t="s">
        <v>222</v>
      </c>
      <c r="C405" t="s">
        <v>2014</v>
      </c>
      <c r="D405" t="s">
        <v>2015</v>
      </c>
      <c r="E405" t="s">
        <v>224</v>
      </c>
      <c r="F405">
        <v>1</v>
      </c>
      <c r="H405" t="s">
        <v>2016</v>
      </c>
      <c r="R405" t="s">
        <v>2017</v>
      </c>
      <c r="S405">
        <v>1</v>
      </c>
      <c r="T405" t="s">
        <v>632</v>
      </c>
      <c r="U405" t="s">
        <v>547</v>
      </c>
      <c r="V405">
        <v>1802.85</v>
      </c>
      <c r="W405">
        <v>2121</v>
      </c>
      <c r="X405">
        <v>1802.85</v>
      </c>
      <c r="Z405" t="s">
        <v>633</v>
      </c>
      <c r="AA405" t="s">
        <v>549</v>
      </c>
      <c r="AB405" t="s">
        <v>748</v>
      </c>
      <c r="AC405" t="s">
        <v>550</v>
      </c>
      <c r="AD405" t="s">
        <v>551</v>
      </c>
      <c r="BR405" t="s">
        <v>549</v>
      </c>
    </row>
    <row r="406" spans="1:70">
      <c r="A406" t="s">
        <v>2013</v>
      </c>
      <c r="B406" t="s">
        <v>222</v>
      </c>
      <c r="C406" t="s">
        <v>2014</v>
      </c>
      <c r="D406" t="s">
        <v>2015</v>
      </c>
      <c r="E406" t="s">
        <v>224</v>
      </c>
      <c r="F406">
        <v>1</v>
      </c>
      <c r="H406" t="s">
        <v>2016</v>
      </c>
      <c r="R406" t="s">
        <v>2017</v>
      </c>
      <c r="S406">
        <v>1</v>
      </c>
      <c r="T406" t="s">
        <v>546</v>
      </c>
      <c r="U406" t="s">
        <v>547</v>
      </c>
      <c r="V406">
        <v>3030</v>
      </c>
      <c r="W406">
        <v>3030</v>
      </c>
      <c r="Z406" t="s">
        <v>548</v>
      </c>
      <c r="AA406" t="s">
        <v>549</v>
      </c>
      <c r="AB406" t="s">
        <v>748</v>
      </c>
      <c r="AC406" t="s">
        <v>550</v>
      </c>
      <c r="AD406" t="s">
        <v>551</v>
      </c>
      <c r="BR406" t="s">
        <v>549</v>
      </c>
    </row>
    <row r="407" spans="1:70">
      <c r="A407" t="s">
        <v>2023</v>
      </c>
      <c r="B407" t="s">
        <v>146</v>
      </c>
      <c r="C407" t="s">
        <v>98</v>
      </c>
      <c r="D407" t="s">
        <v>2024</v>
      </c>
      <c r="E407" t="s">
        <v>156</v>
      </c>
      <c r="F407">
        <v>1</v>
      </c>
      <c r="G407" t="s">
        <v>539</v>
      </c>
      <c r="H407" t="s">
        <v>2025</v>
      </c>
      <c r="I407" t="s">
        <v>748</v>
      </c>
      <c r="J407" t="s">
        <v>542</v>
      </c>
      <c r="K407">
        <v>1880.62</v>
      </c>
      <c r="L407">
        <v>400</v>
      </c>
      <c r="M407" t="s">
        <v>570</v>
      </c>
      <c r="N407" t="s">
        <v>544</v>
      </c>
      <c r="O407">
        <v>85.29</v>
      </c>
      <c r="P407">
        <v>2280.62</v>
      </c>
      <c r="R407" t="s">
        <v>2026</v>
      </c>
      <c r="S407">
        <v>2</v>
      </c>
      <c r="T407" t="s">
        <v>818</v>
      </c>
      <c r="U407" t="s">
        <v>547</v>
      </c>
      <c r="V407">
        <v>656.5</v>
      </c>
      <c r="W407">
        <v>656.5</v>
      </c>
      <c r="Z407" t="s">
        <v>819</v>
      </c>
      <c r="AA407" t="s">
        <v>549</v>
      </c>
      <c r="AB407" t="s">
        <v>748</v>
      </c>
      <c r="AC407" t="s">
        <v>550</v>
      </c>
      <c r="AD407" t="s">
        <v>551</v>
      </c>
      <c r="AE407" t="s">
        <v>146</v>
      </c>
      <c r="AF407" t="s">
        <v>2027</v>
      </c>
      <c r="AG407" t="s">
        <v>2028</v>
      </c>
      <c r="AI407" t="s">
        <v>577</v>
      </c>
      <c r="AJ407" t="s">
        <v>1120</v>
      </c>
      <c r="AK407" t="s">
        <v>556</v>
      </c>
      <c r="AM407" t="s">
        <v>1121</v>
      </c>
      <c r="AN407" t="s">
        <v>558</v>
      </c>
      <c r="AO407" t="s">
        <v>147</v>
      </c>
      <c r="AP407" t="s">
        <v>549</v>
      </c>
      <c r="AQ407" t="s">
        <v>549</v>
      </c>
      <c r="AR407" t="s">
        <v>2029</v>
      </c>
      <c r="AS407" t="s">
        <v>146</v>
      </c>
      <c r="AT407" t="s">
        <v>2027</v>
      </c>
      <c r="AU407" t="s">
        <v>2028</v>
      </c>
      <c r="AW407" t="s">
        <v>577</v>
      </c>
      <c r="AX407" t="s">
        <v>1120</v>
      </c>
      <c r="AY407" t="s">
        <v>556</v>
      </c>
      <c r="BA407" t="s">
        <v>1121</v>
      </c>
      <c r="BB407" t="s">
        <v>558</v>
      </c>
      <c r="BC407" t="s">
        <v>147</v>
      </c>
      <c r="BD407" t="s">
        <v>2029</v>
      </c>
      <c r="BH407" t="s">
        <v>560</v>
      </c>
      <c r="BI407" t="s">
        <v>561</v>
      </c>
      <c r="BK407" t="s">
        <v>607</v>
      </c>
      <c r="BL407" t="s">
        <v>562</v>
      </c>
      <c r="BM407" t="s">
        <v>2030</v>
      </c>
      <c r="BN407">
        <v>1</v>
      </c>
      <c r="BO407">
        <v>18.62</v>
      </c>
      <c r="BP407">
        <v>20</v>
      </c>
      <c r="BQ407">
        <v>66.67</v>
      </c>
      <c r="BR407" t="s">
        <v>549</v>
      </c>
    </row>
    <row r="408" spans="1:70">
      <c r="A408" t="s">
        <v>2023</v>
      </c>
      <c r="B408" t="s">
        <v>146</v>
      </c>
      <c r="C408" t="s">
        <v>98</v>
      </c>
      <c r="D408" t="s">
        <v>2024</v>
      </c>
      <c r="E408" t="s">
        <v>156</v>
      </c>
      <c r="F408">
        <v>1</v>
      </c>
      <c r="H408" t="s">
        <v>2025</v>
      </c>
      <c r="R408" t="s">
        <v>2026</v>
      </c>
      <c r="S408">
        <v>1</v>
      </c>
      <c r="T408" t="s">
        <v>946</v>
      </c>
      <c r="U408" t="s">
        <v>547</v>
      </c>
      <c r="V408">
        <v>567.62</v>
      </c>
      <c r="W408">
        <v>567.62</v>
      </c>
      <c r="Z408" t="s">
        <v>947</v>
      </c>
      <c r="AA408" t="s">
        <v>549</v>
      </c>
      <c r="AB408" t="s">
        <v>748</v>
      </c>
      <c r="AC408" t="s">
        <v>550</v>
      </c>
      <c r="AD408" t="s">
        <v>551</v>
      </c>
      <c r="BR408" t="s">
        <v>549</v>
      </c>
    </row>
    <row r="409" spans="1:70">
      <c r="A409" t="s">
        <v>2031</v>
      </c>
      <c r="B409" t="s">
        <v>314</v>
      </c>
      <c r="C409" t="s">
        <v>2032</v>
      </c>
      <c r="D409" t="s">
        <v>2033</v>
      </c>
      <c r="E409" t="s">
        <v>316</v>
      </c>
      <c r="F409">
        <v>1</v>
      </c>
      <c r="G409" t="s">
        <v>539</v>
      </c>
      <c r="H409" t="s">
        <v>2034</v>
      </c>
      <c r="I409" t="s">
        <v>748</v>
      </c>
      <c r="J409" t="s">
        <v>542</v>
      </c>
      <c r="K409">
        <v>12277.82</v>
      </c>
      <c r="L409">
        <v>200</v>
      </c>
      <c r="M409" t="s">
        <v>543</v>
      </c>
      <c r="N409" t="s">
        <v>544</v>
      </c>
      <c r="O409">
        <v>148.81</v>
      </c>
      <c r="P409">
        <v>11863.93</v>
      </c>
      <c r="Q409">
        <v>613.89</v>
      </c>
      <c r="R409" t="s">
        <v>2035</v>
      </c>
      <c r="S409">
        <v>1</v>
      </c>
      <c r="T409" t="s">
        <v>921</v>
      </c>
      <c r="U409" t="s">
        <v>547</v>
      </c>
      <c r="V409">
        <v>1409.27</v>
      </c>
      <c r="W409">
        <v>1483.44</v>
      </c>
      <c r="Z409" t="s">
        <v>922</v>
      </c>
      <c r="AA409" t="s">
        <v>549</v>
      </c>
      <c r="AB409" t="s">
        <v>748</v>
      </c>
      <c r="AC409" t="s">
        <v>550</v>
      </c>
      <c r="AD409" t="s">
        <v>551</v>
      </c>
      <c r="AE409" t="s">
        <v>2036</v>
      </c>
      <c r="AF409" t="s">
        <v>2037</v>
      </c>
      <c r="AI409" t="s">
        <v>898</v>
      </c>
      <c r="AJ409" t="s">
        <v>2038</v>
      </c>
      <c r="AK409" t="s">
        <v>556</v>
      </c>
      <c r="AM409" t="s">
        <v>2039</v>
      </c>
      <c r="AN409" t="s">
        <v>558</v>
      </c>
      <c r="AO409" t="s">
        <v>315</v>
      </c>
      <c r="AP409" t="s">
        <v>549</v>
      </c>
      <c r="AQ409" t="s">
        <v>549</v>
      </c>
      <c r="AR409" t="s">
        <v>2040</v>
      </c>
      <c r="AS409" t="s">
        <v>2036</v>
      </c>
      <c r="AT409" t="s">
        <v>2037</v>
      </c>
      <c r="AW409" t="s">
        <v>898</v>
      </c>
      <c r="AX409" t="s">
        <v>2038</v>
      </c>
      <c r="AY409" t="s">
        <v>556</v>
      </c>
      <c r="BA409" t="s">
        <v>2039</v>
      </c>
      <c r="BB409" t="s">
        <v>558</v>
      </c>
      <c r="BC409" t="s">
        <v>315</v>
      </c>
      <c r="BD409" t="s">
        <v>2040</v>
      </c>
      <c r="BH409" t="s">
        <v>560</v>
      </c>
      <c r="BI409" t="s">
        <v>561</v>
      </c>
      <c r="BK409" t="s">
        <v>607</v>
      </c>
      <c r="BL409" t="s">
        <v>562</v>
      </c>
      <c r="BM409" t="s">
        <v>2041</v>
      </c>
      <c r="BN409">
        <v>1</v>
      </c>
      <c r="BO409">
        <v>115.48</v>
      </c>
      <c r="BP409">
        <v>20</v>
      </c>
      <c r="BQ409">
        <v>33.33</v>
      </c>
      <c r="BR409" t="s">
        <v>549</v>
      </c>
    </row>
    <row r="410" spans="1:70">
      <c r="A410" t="s">
        <v>2031</v>
      </c>
      <c r="B410" t="s">
        <v>314</v>
      </c>
      <c r="C410" t="s">
        <v>2032</v>
      </c>
      <c r="D410" t="s">
        <v>2033</v>
      </c>
      <c r="E410" t="s">
        <v>316</v>
      </c>
      <c r="F410">
        <v>1</v>
      </c>
      <c r="H410" t="s">
        <v>2034</v>
      </c>
      <c r="R410" t="s">
        <v>2035</v>
      </c>
      <c r="S410">
        <v>1</v>
      </c>
      <c r="T410" t="s">
        <v>1033</v>
      </c>
      <c r="U410" t="s">
        <v>547</v>
      </c>
      <c r="V410">
        <v>2398.75</v>
      </c>
      <c r="W410">
        <v>2525</v>
      </c>
      <c r="Z410" t="s">
        <v>1034</v>
      </c>
      <c r="AA410" t="s">
        <v>549</v>
      </c>
      <c r="AB410" t="s">
        <v>748</v>
      </c>
      <c r="AC410" t="s">
        <v>550</v>
      </c>
      <c r="AD410" t="s">
        <v>551</v>
      </c>
      <c r="BR410" t="s">
        <v>549</v>
      </c>
    </row>
    <row r="411" spans="1:70">
      <c r="A411" t="s">
        <v>2031</v>
      </c>
      <c r="B411" t="s">
        <v>314</v>
      </c>
      <c r="C411" t="s">
        <v>2032</v>
      </c>
      <c r="D411" t="s">
        <v>2033</v>
      </c>
      <c r="E411" t="s">
        <v>316</v>
      </c>
      <c r="F411">
        <v>1</v>
      </c>
      <c r="H411" t="s">
        <v>2034</v>
      </c>
      <c r="R411" t="s">
        <v>2035</v>
      </c>
      <c r="S411">
        <v>1</v>
      </c>
      <c r="T411" t="s">
        <v>572</v>
      </c>
      <c r="U411" t="s">
        <v>547</v>
      </c>
      <c r="V411">
        <v>6056.85</v>
      </c>
      <c r="W411">
        <v>6375.63</v>
      </c>
      <c r="Z411" t="s">
        <v>573</v>
      </c>
      <c r="AA411" t="s">
        <v>549</v>
      </c>
      <c r="AB411" t="s">
        <v>748</v>
      </c>
      <c r="AC411" t="s">
        <v>550</v>
      </c>
      <c r="AD411" t="s">
        <v>551</v>
      </c>
      <c r="BR411" t="s">
        <v>549</v>
      </c>
    </row>
    <row r="412" spans="1:70">
      <c r="A412" t="s">
        <v>2031</v>
      </c>
      <c r="B412" t="s">
        <v>314</v>
      </c>
      <c r="C412" t="s">
        <v>2032</v>
      </c>
      <c r="D412" t="s">
        <v>2033</v>
      </c>
      <c r="E412" t="s">
        <v>316</v>
      </c>
      <c r="F412">
        <v>1</v>
      </c>
      <c r="H412" t="s">
        <v>2034</v>
      </c>
      <c r="R412" t="s">
        <v>2035</v>
      </c>
      <c r="S412">
        <v>1</v>
      </c>
      <c r="T412" t="s">
        <v>616</v>
      </c>
      <c r="U412" t="s">
        <v>547</v>
      </c>
      <c r="V412">
        <v>1799.06</v>
      </c>
      <c r="W412">
        <v>1893.75</v>
      </c>
      <c r="Z412" t="s">
        <v>617</v>
      </c>
      <c r="AA412" t="s">
        <v>549</v>
      </c>
      <c r="AB412" t="s">
        <v>748</v>
      </c>
      <c r="AC412" t="s">
        <v>550</v>
      </c>
      <c r="AD412" t="s">
        <v>551</v>
      </c>
      <c r="BR412" t="s">
        <v>549</v>
      </c>
    </row>
    <row r="413" spans="1:70">
      <c r="A413" t="s">
        <v>2042</v>
      </c>
      <c r="B413" t="s">
        <v>108</v>
      </c>
      <c r="C413" t="s">
        <v>992</v>
      </c>
      <c r="D413" t="s">
        <v>993</v>
      </c>
      <c r="E413" t="s">
        <v>110</v>
      </c>
      <c r="F413">
        <v>2</v>
      </c>
      <c r="G413" t="s">
        <v>539</v>
      </c>
      <c r="H413" t="s">
        <v>2043</v>
      </c>
      <c r="I413" t="s">
        <v>748</v>
      </c>
      <c r="J413" t="s">
        <v>542</v>
      </c>
      <c r="K413">
        <v>11741.25</v>
      </c>
      <c r="L413">
        <v>200</v>
      </c>
      <c r="M413" t="s">
        <v>543</v>
      </c>
      <c r="N413" t="s">
        <v>544</v>
      </c>
      <c r="O413">
        <v>143.77000000000001</v>
      </c>
      <c r="P413">
        <v>11354.2</v>
      </c>
      <c r="Q413">
        <v>587.04999999999995</v>
      </c>
      <c r="R413" t="s">
        <v>2044</v>
      </c>
      <c r="S413">
        <v>5</v>
      </c>
      <c r="T413" t="s">
        <v>584</v>
      </c>
      <c r="U413" t="s">
        <v>547</v>
      </c>
      <c r="V413">
        <v>2230.84</v>
      </c>
      <c r="W413">
        <v>2348.25</v>
      </c>
      <c r="Z413" t="s">
        <v>585</v>
      </c>
      <c r="AA413" t="s">
        <v>549</v>
      </c>
      <c r="AB413" t="s">
        <v>748</v>
      </c>
      <c r="AC413" t="s">
        <v>550</v>
      </c>
      <c r="AD413" t="s">
        <v>551</v>
      </c>
      <c r="AE413" t="s">
        <v>996</v>
      </c>
      <c r="AF413" t="s">
        <v>997</v>
      </c>
      <c r="AH413" t="s">
        <v>998</v>
      </c>
      <c r="AI413" t="s">
        <v>554</v>
      </c>
      <c r="AJ413" t="s">
        <v>999</v>
      </c>
      <c r="AK413" t="s">
        <v>556</v>
      </c>
      <c r="AM413" t="s">
        <v>1000</v>
      </c>
      <c r="AN413" t="s">
        <v>558</v>
      </c>
      <c r="AO413" t="s">
        <v>109</v>
      </c>
      <c r="AP413" t="s">
        <v>1001</v>
      </c>
      <c r="AQ413" t="s">
        <v>1002</v>
      </c>
      <c r="AR413" t="s">
        <v>1001</v>
      </c>
      <c r="AS413" t="s">
        <v>996</v>
      </c>
      <c r="AT413" t="s">
        <v>997</v>
      </c>
      <c r="AV413" t="s">
        <v>998</v>
      </c>
      <c r="AW413" t="s">
        <v>554</v>
      </c>
      <c r="AX413" t="s">
        <v>999</v>
      </c>
      <c r="AY413" t="s">
        <v>556</v>
      </c>
      <c r="BA413" t="s">
        <v>1000</v>
      </c>
      <c r="BB413" t="s">
        <v>558</v>
      </c>
      <c r="BC413" t="s">
        <v>109</v>
      </c>
      <c r="BD413" t="s">
        <v>1001</v>
      </c>
      <c r="BH413" t="s">
        <v>560</v>
      </c>
      <c r="BI413" t="s">
        <v>561</v>
      </c>
      <c r="BK413" t="s">
        <v>607</v>
      </c>
      <c r="BL413" t="s">
        <v>562</v>
      </c>
      <c r="BM413" t="s">
        <v>2045</v>
      </c>
      <c r="BN413">
        <v>1</v>
      </c>
      <c r="BO413">
        <v>110.44</v>
      </c>
      <c r="BP413">
        <v>20</v>
      </c>
      <c r="BQ413">
        <v>33.33</v>
      </c>
      <c r="BR413" t="s">
        <v>549</v>
      </c>
    </row>
    <row r="414" spans="1:70">
      <c r="A414" t="s">
        <v>2046</v>
      </c>
      <c r="B414" t="s">
        <v>150</v>
      </c>
      <c r="C414" t="s">
        <v>2047</v>
      </c>
      <c r="D414" t="s">
        <v>2048</v>
      </c>
      <c r="E414" t="s">
        <v>160</v>
      </c>
      <c r="F414">
        <v>1</v>
      </c>
      <c r="G414" t="s">
        <v>539</v>
      </c>
      <c r="H414" t="s">
        <v>2049</v>
      </c>
      <c r="I414" t="s">
        <v>748</v>
      </c>
      <c r="J414" t="s">
        <v>542</v>
      </c>
      <c r="K414">
        <v>21857.66</v>
      </c>
      <c r="L414">
        <v>200</v>
      </c>
      <c r="M414" t="s">
        <v>543</v>
      </c>
      <c r="N414" t="s">
        <v>544</v>
      </c>
      <c r="O414">
        <v>228.1</v>
      </c>
      <c r="P414">
        <v>19871.900000000001</v>
      </c>
      <c r="Q414">
        <v>2185.7600000000002</v>
      </c>
      <c r="R414" t="s">
        <v>2050</v>
      </c>
      <c r="S414">
        <v>1</v>
      </c>
      <c r="T414" t="s">
        <v>546</v>
      </c>
      <c r="U414" t="s">
        <v>547</v>
      </c>
      <c r="V414">
        <v>2727</v>
      </c>
      <c r="W414">
        <v>3030</v>
      </c>
      <c r="Z414" t="s">
        <v>548</v>
      </c>
      <c r="AA414" t="s">
        <v>549</v>
      </c>
      <c r="AB414" t="s">
        <v>748</v>
      </c>
      <c r="AC414" t="s">
        <v>550</v>
      </c>
      <c r="AD414" t="s">
        <v>551</v>
      </c>
      <c r="AE414" t="s">
        <v>150</v>
      </c>
      <c r="AF414" t="s">
        <v>2051</v>
      </c>
      <c r="AG414" t="s">
        <v>2052</v>
      </c>
      <c r="AH414" t="s">
        <v>2053</v>
      </c>
      <c r="AI414" t="s">
        <v>577</v>
      </c>
      <c r="AJ414" t="s">
        <v>1500</v>
      </c>
      <c r="AK414" t="s">
        <v>556</v>
      </c>
      <c r="AM414" t="s">
        <v>2054</v>
      </c>
      <c r="AN414" t="s">
        <v>558</v>
      </c>
      <c r="AO414" t="s">
        <v>151</v>
      </c>
      <c r="AP414" t="s">
        <v>2055</v>
      </c>
      <c r="AQ414" t="s">
        <v>2056</v>
      </c>
      <c r="AR414" t="s">
        <v>2057</v>
      </c>
      <c r="AS414" t="s">
        <v>150</v>
      </c>
      <c r="AT414" t="s">
        <v>2051</v>
      </c>
      <c r="AU414" t="s">
        <v>2052</v>
      </c>
      <c r="AV414" t="s">
        <v>2053</v>
      </c>
      <c r="AW414" t="s">
        <v>577</v>
      </c>
      <c r="AX414" t="s">
        <v>1500</v>
      </c>
      <c r="AY414" t="s">
        <v>556</v>
      </c>
      <c r="BA414" t="s">
        <v>2054</v>
      </c>
      <c r="BB414" t="s">
        <v>558</v>
      </c>
      <c r="BC414" t="s">
        <v>151</v>
      </c>
      <c r="BD414" t="s">
        <v>2057</v>
      </c>
      <c r="BH414" t="s">
        <v>560</v>
      </c>
      <c r="BI414" t="s">
        <v>561</v>
      </c>
      <c r="BK414" t="s">
        <v>607</v>
      </c>
      <c r="BL414" t="s">
        <v>562</v>
      </c>
      <c r="BM414" t="s">
        <v>2058</v>
      </c>
      <c r="BN414">
        <v>1</v>
      </c>
      <c r="BO414">
        <v>194.77</v>
      </c>
      <c r="BP414">
        <v>20</v>
      </c>
      <c r="BQ414">
        <v>33.33</v>
      </c>
      <c r="BR414" t="s">
        <v>549</v>
      </c>
    </row>
    <row r="415" spans="1:70">
      <c r="A415" t="s">
        <v>2046</v>
      </c>
      <c r="B415" t="s">
        <v>150</v>
      </c>
      <c r="C415" t="s">
        <v>2047</v>
      </c>
      <c r="D415" t="s">
        <v>2048</v>
      </c>
      <c r="E415" t="s">
        <v>160</v>
      </c>
      <c r="F415">
        <v>1</v>
      </c>
      <c r="H415" t="s">
        <v>2049</v>
      </c>
      <c r="R415" t="s">
        <v>2050</v>
      </c>
      <c r="S415">
        <v>1</v>
      </c>
      <c r="T415" t="s">
        <v>729</v>
      </c>
      <c r="U415" t="s">
        <v>547</v>
      </c>
      <c r="V415">
        <v>5968.72</v>
      </c>
      <c r="W415">
        <v>6631.91</v>
      </c>
      <c r="Z415" t="s">
        <v>730</v>
      </c>
      <c r="AA415" t="s">
        <v>549</v>
      </c>
      <c r="AB415" t="s">
        <v>748</v>
      </c>
      <c r="AC415" t="s">
        <v>550</v>
      </c>
      <c r="AD415" t="s">
        <v>551</v>
      </c>
      <c r="BR415" t="s">
        <v>549</v>
      </c>
    </row>
    <row r="416" spans="1:70">
      <c r="A416" t="s">
        <v>2046</v>
      </c>
      <c r="B416" t="s">
        <v>150</v>
      </c>
      <c r="C416" t="s">
        <v>2047</v>
      </c>
      <c r="D416" t="s">
        <v>2048</v>
      </c>
      <c r="E416" t="s">
        <v>160</v>
      </c>
      <c r="F416">
        <v>1</v>
      </c>
      <c r="H416" t="s">
        <v>2049</v>
      </c>
      <c r="R416" t="s">
        <v>2050</v>
      </c>
      <c r="S416">
        <v>1</v>
      </c>
      <c r="T416" t="s">
        <v>630</v>
      </c>
      <c r="U416" t="s">
        <v>547</v>
      </c>
      <c r="V416">
        <v>3408.75</v>
      </c>
      <c r="W416">
        <v>3787.5</v>
      </c>
      <c r="Z416" t="s">
        <v>631</v>
      </c>
      <c r="AA416" t="s">
        <v>549</v>
      </c>
      <c r="AB416" t="s">
        <v>748</v>
      </c>
      <c r="AC416" t="s">
        <v>550</v>
      </c>
      <c r="AD416" t="s">
        <v>551</v>
      </c>
      <c r="BR416" t="s">
        <v>549</v>
      </c>
    </row>
    <row r="417" spans="1:70">
      <c r="A417" t="s">
        <v>2046</v>
      </c>
      <c r="B417" t="s">
        <v>150</v>
      </c>
      <c r="C417" t="s">
        <v>2047</v>
      </c>
      <c r="D417" t="s">
        <v>2048</v>
      </c>
      <c r="E417" t="s">
        <v>160</v>
      </c>
      <c r="F417">
        <v>1</v>
      </c>
      <c r="H417" t="s">
        <v>2049</v>
      </c>
      <c r="R417" t="s">
        <v>2050</v>
      </c>
      <c r="S417">
        <v>1</v>
      </c>
      <c r="T417" t="s">
        <v>632</v>
      </c>
      <c r="U417" t="s">
        <v>547</v>
      </c>
      <c r="V417">
        <v>1908.9</v>
      </c>
      <c r="W417">
        <v>2121</v>
      </c>
      <c r="Z417" t="s">
        <v>633</v>
      </c>
      <c r="AA417" t="s">
        <v>549</v>
      </c>
      <c r="AB417" t="s">
        <v>748</v>
      </c>
      <c r="AC417" t="s">
        <v>550</v>
      </c>
      <c r="AD417" t="s">
        <v>551</v>
      </c>
      <c r="BR417" t="s">
        <v>549</v>
      </c>
    </row>
    <row r="418" spans="1:70">
      <c r="A418" t="s">
        <v>2046</v>
      </c>
      <c r="B418" t="s">
        <v>150</v>
      </c>
      <c r="C418" t="s">
        <v>2047</v>
      </c>
      <c r="D418" t="s">
        <v>2048</v>
      </c>
      <c r="E418" t="s">
        <v>160</v>
      </c>
      <c r="F418">
        <v>1</v>
      </c>
      <c r="H418" t="s">
        <v>2049</v>
      </c>
      <c r="R418" t="s">
        <v>2050</v>
      </c>
      <c r="S418">
        <v>1</v>
      </c>
      <c r="T418" t="s">
        <v>1268</v>
      </c>
      <c r="U418" t="s">
        <v>547</v>
      </c>
      <c r="V418">
        <v>1568.03</v>
      </c>
      <c r="W418">
        <v>1742.25</v>
      </c>
      <c r="Z418" t="s">
        <v>1269</v>
      </c>
      <c r="AA418" t="s">
        <v>549</v>
      </c>
      <c r="AB418" t="s">
        <v>748</v>
      </c>
      <c r="AC418" t="s">
        <v>550</v>
      </c>
      <c r="AD418" t="s">
        <v>551</v>
      </c>
      <c r="BR418" t="s">
        <v>549</v>
      </c>
    </row>
    <row r="419" spans="1:70">
      <c r="A419" t="s">
        <v>2046</v>
      </c>
      <c r="B419" t="s">
        <v>150</v>
      </c>
      <c r="C419" t="s">
        <v>2047</v>
      </c>
      <c r="D419" t="s">
        <v>2048</v>
      </c>
      <c r="E419" t="s">
        <v>160</v>
      </c>
      <c r="F419">
        <v>1</v>
      </c>
      <c r="H419" t="s">
        <v>2049</v>
      </c>
      <c r="R419" t="s">
        <v>2050</v>
      </c>
      <c r="S419">
        <v>1</v>
      </c>
      <c r="T419" t="s">
        <v>1804</v>
      </c>
      <c r="U419" t="s">
        <v>547</v>
      </c>
      <c r="V419">
        <v>1772.55</v>
      </c>
      <c r="W419">
        <v>1969.5</v>
      </c>
      <c r="Z419" t="s">
        <v>1805</v>
      </c>
      <c r="AA419" t="s">
        <v>549</v>
      </c>
      <c r="AB419" t="s">
        <v>748</v>
      </c>
      <c r="AC419" t="s">
        <v>550</v>
      </c>
      <c r="AD419" t="s">
        <v>551</v>
      </c>
      <c r="BR419" t="s">
        <v>549</v>
      </c>
    </row>
    <row r="420" spans="1:70">
      <c r="A420" t="s">
        <v>2046</v>
      </c>
      <c r="B420" t="s">
        <v>150</v>
      </c>
      <c r="C420" t="s">
        <v>2047</v>
      </c>
      <c r="D420" t="s">
        <v>2048</v>
      </c>
      <c r="E420" t="s">
        <v>160</v>
      </c>
      <c r="F420">
        <v>1</v>
      </c>
      <c r="H420" t="s">
        <v>2049</v>
      </c>
      <c r="R420" t="s">
        <v>2050</v>
      </c>
      <c r="S420">
        <v>1</v>
      </c>
      <c r="T420" t="s">
        <v>719</v>
      </c>
      <c r="U420" t="s">
        <v>547</v>
      </c>
      <c r="V420">
        <v>2317.9499999999998</v>
      </c>
      <c r="W420">
        <v>2575.5</v>
      </c>
      <c r="Z420" t="s">
        <v>720</v>
      </c>
      <c r="AA420" t="s">
        <v>549</v>
      </c>
      <c r="AB420" t="s">
        <v>748</v>
      </c>
      <c r="AC420" t="s">
        <v>550</v>
      </c>
      <c r="AD420" t="s">
        <v>551</v>
      </c>
      <c r="BR420" t="s">
        <v>549</v>
      </c>
    </row>
    <row r="421" spans="1:70">
      <c r="A421" t="s">
        <v>2059</v>
      </c>
      <c r="B421" t="s">
        <v>329</v>
      </c>
      <c r="C421" t="s">
        <v>1915</v>
      </c>
      <c r="D421" t="s">
        <v>1916</v>
      </c>
      <c r="E421" t="s">
        <v>331</v>
      </c>
      <c r="F421">
        <v>1</v>
      </c>
      <c r="G421" t="s">
        <v>539</v>
      </c>
      <c r="H421" t="s">
        <v>2060</v>
      </c>
      <c r="I421" t="s">
        <v>748</v>
      </c>
      <c r="J421" t="s">
        <v>542</v>
      </c>
      <c r="K421">
        <v>4608.12</v>
      </c>
      <c r="L421">
        <v>400</v>
      </c>
      <c r="M421" t="s">
        <v>570</v>
      </c>
      <c r="N421" t="s">
        <v>544</v>
      </c>
      <c r="O421">
        <v>112.29</v>
      </c>
      <c r="P421">
        <v>5008.12</v>
      </c>
      <c r="R421" t="s">
        <v>2061</v>
      </c>
      <c r="S421">
        <v>2</v>
      </c>
      <c r="T421" t="s">
        <v>953</v>
      </c>
      <c r="U421" t="s">
        <v>547</v>
      </c>
      <c r="V421">
        <v>2304.06</v>
      </c>
      <c r="W421">
        <v>2304.06</v>
      </c>
      <c r="Z421" t="s">
        <v>954</v>
      </c>
      <c r="AA421" t="s">
        <v>549</v>
      </c>
      <c r="AB421" t="s">
        <v>748</v>
      </c>
      <c r="AC421" t="s">
        <v>550</v>
      </c>
      <c r="AD421" t="s">
        <v>551</v>
      </c>
      <c r="AE421" t="s">
        <v>329</v>
      </c>
      <c r="AF421" t="s">
        <v>1919</v>
      </c>
      <c r="AG421" t="s">
        <v>1920</v>
      </c>
      <c r="AH421" t="s">
        <v>1921</v>
      </c>
      <c r="AI421" t="s">
        <v>1922</v>
      </c>
      <c r="AJ421" t="s">
        <v>1923</v>
      </c>
      <c r="AK421" t="s">
        <v>556</v>
      </c>
      <c r="AM421" t="s">
        <v>1924</v>
      </c>
      <c r="AN421" t="s">
        <v>558</v>
      </c>
      <c r="AO421" t="s">
        <v>1925</v>
      </c>
      <c r="AP421" t="s">
        <v>1926</v>
      </c>
      <c r="AQ421" t="s">
        <v>1927</v>
      </c>
      <c r="AR421" t="s">
        <v>1928</v>
      </c>
      <c r="AS421" t="s">
        <v>329</v>
      </c>
      <c r="AT421" t="s">
        <v>1919</v>
      </c>
      <c r="AU421" t="s">
        <v>1920</v>
      </c>
      <c r="AV421" t="s">
        <v>1921</v>
      </c>
      <c r="AW421" t="s">
        <v>1922</v>
      </c>
      <c r="AX421" t="s">
        <v>1923</v>
      </c>
      <c r="AY421" t="s">
        <v>556</v>
      </c>
      <c r="BA421" t="s">
        <v>1924</v>
      </c>
      <c r="BB421" t="s">
        <v>558</v>
      </c>
      <c r="BC421" t="s">
        <v>1925</v>
      </c>
      <c r="BD421" t="s">
        <v>1928</v>
      </c>
      <c r="BH421" t="s">
        <v>560</v>
      </c>
      <c r="BI421" t="s">
        <v>561</v>
      </c>
      <c r="BK421" t="s">
        <v>607</v>
      </c>
      <c r="BL421" t="s">
        <v>562</v>
      </c>
      <c r="BM421" t="s">
        <v>2062</v>
      </c>
      <c r="BN421">
        <v>1</v>
      </c>
      <c r="BO421">
        <v>45.62</v>
      </c>
      <c r="BP421">
        <v>20</v>
      </c>
      <c r="BQ421">
        <v>66.67</v>
      </c>
      <c r="BR421" t="s">
        <v>549</v>
      </c>
    </row>
    <row r="422" spans="1:70">
      <c r="A422" t="s">
        <v>2063</v>
      </c>
      <c r="B422" t="s">
        <v>292</v>
      </c>
      <c r="C422" t="s">
        <v>2064</v>
      </c>
      <c r="D422" t="s">
        <v>1970</v>
      </c>
      <c r="E422" t="s">
        <v>294</v>
      </c>
      <c r="F422">
        <v>1</v>
      </c>
      <c r="G422" t="s">
        <v>539</v>
      </c>
      <c r="H422" t="s">
        <v>2065</v>
      </c>
      <c r="I422" t="s">
        <v>748</v>
      </c>
      <c r="J422" t="s">
        <v>542</v>
      </c>
      <c r="K422">
        <v>8787</v>
      </c>
      <c r="L422">
        <v>400</v>
      </c>
      <c r="M422" t="s">
        <v>570</v>
      </c>
      <c r="N422" t="s">
        <v>544</v>
      </c>
      <c r="O422">
        <v>153.66999999999999</v>
      </c>
      <c r="P422">
        <v>9187</v>
      </c>
      <c r="R422" t="s">
        <v>2066</v>
      </c>
      <c r="S422">
        <v>2</v>
      </c>
      <c r="T422" t="s">
        <v>588</v>
      </c>
      <c r="U422" t="s">
        <v>547</v>
      </c>
      <c r="V422">
        <v>4393.5</v>
      </c>
      <c r="W422">
        <v>4393.5</v>
      </c>
      <c r="Z422" t="s">
        <v>589</v>
      </c>
      <c r="AA422" t="s">
        <v>549</v>
      </c>
      <c r="AB422" t="s">
        <v>748</v>
      </c>
      <c r="AC422" t="s">
        <v>550</v>
      </c>
      <c r="AD422" t="s">
        <v>551</v>
      </c>
      <c r="AE422" t="s">
        <v>292</v>
      </c>
      <c r="AF422" t="s">
        <v>2067</v>
      </c>
      <c r="AG422" t="s">
        <v>2068</v>
      </c>
      <c r="AI422" t="s">
        <v>1754</v>
      </c>
      <c r="AJ422" t="s">
        <v>2069</v>
      </c>
      <c r="AK422" t="s">
        <v>556</v>
      </c>
      <c r="AM422" t="s">
        <v>2070</v>
      </c>
      <c r="AN422" t="s">
        <v>558</v>
      </c>
      <c r="AO422" t="s">
        <v>293</v>
      </c>
      <c r="AP422" t="s">
        <v>549</v>
      </c>
      <c r="AQ422" t="s">
        <v>549</v>
      </c>
      <c r="AR422" t="s">
        <v>2071</v>
      </c>
      <c r="AS422" t="s">
        <v>292</v>
      </c>
      <c r="AT422" t="s">
        <v>2067</v>
      </c>
      <c r="AU422" t="s">
        <v>2068</v>
      </c>
      <c r="AW422" t="s">
        <v>1754</v>
      </c>
      <c r="AX422" t="s">
        <v>2069</v>
      </c>
      <c r="AY422" t="s">
        <v>556</v>
      </c>
      <c r="BA422" t="s">
        <v>2070</v>
      </c>
      <c r="BB422" t="s">
        <v>558</v>
      </c>
      <c r="BC422" t="s">
        <v>293</v>
      </c>
      <c r="BD422" t="s">
        <v>2071</v>
      </c>
      <c r="BH422" t="s">
        <v>560</v>
      </c>
      <c r="BI422" t="s">
        <v>561</v>
      </c>
      <c r="BK422" t="s">
        <v>607</v>
      </c>
      <c r="BL422" t="s">
        <v>562</v>
      </c>
      <c r="BM422" t="s">
        <v>2072</v>
      </c>
      <c r="BN422">
        <v>1</v>
      </c>
      <c r="BO422">
        <v>87</v>
      </c>
      <c r="BP422">
        <v>20</v>
      </c>
      <c r="BQ422">
        <v>66.67</v>
      </c>
      <c r="BR422" t="s">
        <v>549</v>
      </c>
    </row>
    <row r="423" spans="1:70">
      <c r="A423" t="s">
        <v>2073</v>
      </c>
      <c r="B423" t="s">
        <v>154</v>
      </c>
      <c r="C423" t="s">
        <v>2074</v>
      </c>
      <c r="D423" t="s">
        <v>2075</v>
      </c>
      <c r="E423" t="s">
        <v>164</v>
      </c>
      <c r="F423">
        <v>1</v>
      </c>
      <c r="G423" t="s">
        <v>539</v>
      </c>
      <c r="H423" t="s">
        <v>2076</v>
      </c>
      <c r="I423" t="s">
        <v>748</v>
      </c>
      <c r="J423" t="s">
        <v>542</v>
      </c>
      <c r="K423">
        <v>10504</v>
      </c>
      <c r="L423">
        <v>400</v>
      </c>
      <c r="M423" t="s">
        <v>570</v>
      </c>
      <c r="N423" t="s">
        <v>544</v>
      </c>
      <c r="O423">
        <v>165.47</v>
      </c>
      <c r="P423">
        <v>10378.719999999999</v>
      </c>
      <c r="Q423">
        <v>525.28</v>
      </c>
      <c r="R423" t="s">
        <v>2077</v>
      </c>
      <c r="S423">
        <v>16</v>
      </c>
      <c r="T423" t="s">
        <v>818</v>
      </c>
      <c r="U423" t="s">
        <v>547</v>
      </c>
      <c r="V423">
        <v>623.66999999999996</v>
      </c>
      <c r="W423">
        <v>656.5</v>
      </c>
      <c r="Z423" t="s">
        <v>819</v>
      </c>
      <c r="AA423" t="s">
        <v>549</v>
      </c>
      <c r="AB423" t="s">
        <v>748</v>
      </c>
      <c r="AC423" t="s">
        <v>550</v>
      </c>
      <c r="AD423" t="s">
        <v>551</v>
      </c>
      <c r="AE423" t="s">
        <v>2078</v>
      </c>
      <c r="AF423" t="s">
        <v>2079</v>
      </c>
      <c r="AG423" t="s">
        <v>2080</v>
      </c>
      <c r="AH423" t="s">
        <v>2081</v>
      </c>
      <c r="AI423" t="s">
        <v>688</v>
      </c>
      <c r="AJ423" t="s">
        <v>689</v>
      </c>
      <c r="AK423" t="s">
        <v>556</v>
      </c>
      <c r="AM423" t="s">
        <v>690</v>
      </c>
      <c r="AN423" t="s">
        <v>558</v>
      </c>
      <c r="AO423" t="s">
        <v>155</v>
      </c>
      <c r="AP423" t="s">
        <v>2082</v>
      </c>
      <c r="AQ423" t="s">
        <v>2075</v>
      </c>
      <c r="AR423" t="s">
        <v>2083</v>
      </c>
      <c r="AS423" t="s">
        <v>2078</v>
      </c>
      <c r="AT423" t="s">
        <v>2079</v>
      </c>
      <c r="AU423" t="s">
        <v>2080</v>
      </c>
      <c r="AV423" t="s">
        <v>2081</v>
      </c>
      <c r="AW423" t="s">
        <v>688</v>
      </c>
      <c r="AX423" t="s">
        <v>689</v>
      </c>
      <c r="AY423" t="s">
        <v>556</v>
      </c>
      <c r="BA423" t="s">
        <v>690</v>
      </c>
      <c r="BB423" t="s">
        <v>558</v>
      </c>
      <c r="BC423" t="s">
        <v>155</v>
      </c>
      <c r="BD423" t="s">
        <v>2083</v>
      </c>
      <c r="BH423" t="s">
        <v>560</v>
      </c>
      <c r="BI423" t="s">
        <v>561</v>
      </c>
      <c r="BK423" t="s">
        <v>607</v>
      </c>
      <c r="BL423" t="s">
        <v>562</v>
      </c>
      <c r="BM423" t="s">
        <v>2084</v>
      </c>
      <c r="BN423">
        <v>1</v>
      </c>
      <c r="BO423">
        <v>98.8</v>
      </c>
      <c r="BP423">
        <v>20</v>
      </c>
      <c r="BQ423">
        <v>66.67</v>
      </c>
      <c r="BR423" t="s">
        <v>549</v>
      </c>
    </row>
    <row r="424" spans="1:70">
      <c r="A424" t="s">
        <v>2085</v>
      </c>
      <c r="B424" t="s">
        <v>158</v>
      </c>
      <c r="C424" t="s">
        <v>2086</v>
      </c>
      <c r="D424" t="s">
        <v>2087</v>
      </c>
      <c r="E424" t="s">
        <v>53</v>
      </c>
      <c r="F424">
        <v>1</v>
      </c>
      <c r="G424" t="s">
        <v>539</v>
      </c>
      <c r="H424" t="s">
        <v>2088</v>
      </c>
      <c r="I424" t="s">
        <v>748</v>
      </c>
      <c r="J424" t="s">
        <v>542</v>
      </c>
      <c r="K424">
        <v>3888.5</v>
      </c>
      <c r="L424">
        <v>400</v>
      </c>
      <c r="M424" t="s">
        <v>570</v>
      </c>
      <c r="N424" t="s">
        <v>544</v>
      </c>
      <c r="O424">
        <v>105.17</v>
      </c>
      <c r="P424">
        <v>4288.5</v>
      </c>
      <c r="R424" t="s">
        <v>2089</v>
      </c>
      <c r="S424">
        <v>1</v>
      </c>
      <c r="T424" t="s">
        <v>1782</v>
      </c>
      <c r="U424" t="s">
        <v>547</v>
      </c>
      <c r="V424">
        <v>3888.5</v>
      </c>
      <c r="W424">
        <v>3888.5</v>
      </c>
      <c r="Z424" t="s">
        <v>1783</v>
      </c>
      <c r="AA424" t="s">
        <v>549</v>
      </c>
      <c r="AB424" t="s">
        <v>748</v>
      </c>
      <c r="AC424" t="s">
        <v>550</v>
      </c>
      <c r="AD424" t="s">
        <v>551</v>
      </c>
      <c r="AE424" t="s">
        <v>158</v>
      </c>
      <c r="AF424" t="s">
        <v>2090</v>
      </c>
      <c r="AG424" t="s">
        <v>2091</v>
      </c>
      <c r="AH424" t="s">
        <v>2092</v>
      </c>
      <c r="AI424" t="s">
        <v>2093</v>
      </c>
      <c r="AJ424" t="s">
        <v>2094</v>
      </c>
      <c r="AK424" t="s">
        <v>556</v>
      </c>
      <c r="AM424" t="s">
        <v>690</v>
      </c>
      <c r="AN424" t="s">
        <v>558</v>
      </c>
      <c r="AO424" t="s">
        <v>159</v>
      </c>
      <c r="AP424" t="s">
        <v>2095</v>
      </c>
      <c r="AQ424" t="s">
        <v>2096</v>
      </c>
      <c r="AR424" t="s">
        <v>2097</v>
      </c>
      <c r="AS424" t="s">
        <v>158</v>
      </c>
      <c r="AT424" t="s">
        <v>2090</v>
      </c>
      <c r="AU424" t="s">
        <v>2091</v>
      </c>
      <c r="AV424" t="s">
        <v>2092</v>
      </c>
      <c r="AW424" t="s">
        <v>2093</v>
      </c>
      <c r="AX424" t="s">
        <v>2094</v>
      </c>
      <c r="AY424" t="s">
        <v>556</v>
      </c>
      <c r="BA424" t="s">
        <v>690</v>
      </c>
      <c r="BB424" t="s">
        <v>558</v>
      </c>
      <c r="BC424" t="s">
        <v>159</v>
      </c>
      <c r="BD424" t="s">
        <v>2097</v>
      </c>
      <c r="BH424" t="s">
        <v>560</v>
      </c>
      <c r="BI424" t="s">
        <v>561</v>
      </c>
      <c r="BK424" t="s">
        <v>607</v>
      </c>
      <c r="BL424" t="s">
        <v>562</v>
      </c>
      <c r="BM424" t="s">
        <v>2098</v>
      </c>
      <c r="BN424">
        <v>1</v>
      </c>
      <c r="BO424">
        <v>38.5</v>
      </c>
      <c r="BP424">
        <v>20</v>
      </c>
      <c r="BQ424">
        <v>66.67</v>
      </c>
      <c r="BR424" t="s">
        <v>549</v>
      </c>
    </row>
    <row r="425" spans="1:70">
      <c r="A425" t="s">
        <v>2099</v>
      </c>
      <c r="B425" t="s">
        <v>120</v>
      </c>
      <c r="C425" t="s">
        <v>1541</v>
      </c>
      <c r="D425" t="s">
        <v>1542</v>
      </c>
      <c r="E425" t="s">
        <v>122</v>
      </c>
      <c r="F425">
        <v>1</v>
      </c>
      <c r="G425" t="s">
        <v>539</v>
      </c>
      <c r="H425" t="s">
        <v>2100</v>
      </c>
      <c r="I425" t="s">
        <v>748</v>
      </c>
      <c r="J425" t="s">
        <v>542</v>
      </c>
      <c r="K425">
        <v>12498.76</v>
      </c>
      <c r="L425">
        <v>200</v>
      </c>
      <c r="M425" t="s">
        <v>543</v>
      </c>
      <c r="N425" t="s">
        <v>544</v>
      </c>
      <c r="O425">
        <v>150.88999999999999</v>
      </c>
      <c r="P425">
        <v>12073.82</v>
      </c>
      <c r="Q425">
        <v>624.94000000000005</v>
      </c>
      <c r="R425" t="s">
        <v>2101</v>
      </c>
      <c r="S425">
        <v>4</v>
      </c>
      <c r="T425" t="s">
        <v>616</v>
      </c>
      <c r="U425" t="s">
        <v>547</v>
      </c>
      <c r="V425">
        <v>1799.06</v>
      </c>
      <c r="W425">
        <v>1893.75</v>
      </c>
      <c r="Z425" t="s">
        <v>617</v>
      </c>
      <c r="AA425" t="s">
        <v>549</v>
      </c>
      <c r="AB425" t="s">
        <v>748</v>
      </c>
      <c r="AC425" t="s">
        <v>550</v>
      </c>
      <c r="AD425" t="s">
        <v>551</v>
      </c>
      <c r="AE425" t="s">
        <v>2102</v>
      </c>
      <c r="AF425" t="s">
        <v>1546</v>
      </c>
      <c r="AH425" t="s">
        <v>2103</v>
      </c>
      <c r="AI425" t="s">
        <v>601</v>
      </c>
      <c r="AJ425" t="s">
        <v>2104</v>
      </c>
      <c r="AK425" t="s">
        <v>556</v>
      </c>
      <c r="AM425" t="s">
        <v>1548</v>
      </c>
      <c r="AN425" t="s">
        <v>558</v>
      </c>
      <c r="AO425" t="s">
        <v>121</v>
      </c>
      <c r="AP425" t="s">
        <v>2105</v>
      </c>
      <c r="AQ425" t="s">
        <v>2106</v>
      </c>
      <c r="AR425" t="s">
        <v>1549</v>
      </c>
      <c r="AS425" t="s">
        <v>2102</v>
      </c>
      <c r="AT425" t="s">
        <v>1546</v>
      </c>
      <c r="AV425" t="s">
        <v>2103</v>
      </c>
      <c r="AW425" t="s">
        <v>601</v>
      </c>
      <c r="AX425" t="s">
        <v>2104</v>
      </c>
      <c r="AY425" t="s">
        <v>556</v>
      </c>
      <c r="BA425" t="s">
        <v>1548</v>
      </c>
      <c r="BB425" t="s">
        <v>558</v>
      </c>
      <c r="BC425" t="s">
        <v>121</v>
      </c>
      <c r="BD425" t="s">
        <v>1549</v>
      </c>
      <c r="BH425" t="s">
        <v>560</v>
      </c>
      <c r="BI425" t="s">
        <v>561</v>
      </c>
      <c r="BK425" t="s">
        <v>607</v>
      </c>
      <c r="BL425" t="s">
        <v>562</v>
      </c>
      <c r="BM425" t="s">
        <v>2107</v>
      </c>
      <c r="BN425">
        <v>1</v>
      </c>
      <c r="BO425">
        <v>117.56</v>
      </c>
      <c r="BP425">
        <v>20</v>
      </c>
      <c r="BQ425">
        <v>33.33</v>
      </c>
      <c r="BR425" t="s">
        <v>549</v>
      </c>
    </row>
    <row r="426" spans="1:70">
      <c r="A426" t="s">
        <v>2099</v>
      </c>
      <c r="B426" t="s">
        <v>120</v>
      </c>
      <c r="C426" t="s">
        <v>1541</v>
      </c>
      <c r="D426" t="s">
        <v>1542</v>
      </c>
      <c r="E426" t="s">
        <v>122</v>
      </c>
      <c r="F426">
        <v>1</v>
      </c>
      <c r="H426" t="s">
        <v>2100</v>
      </c>
      <c r="R426" t="s">
        <v>2101</v>
      </c>
      <c r="S426">
        <v>2</v>
      </c>
      <c r="T426" t="s">
        <v>704</v>
      </c>
      <c r="U426" t="s">
        <v>547</v>
      </c>
      <c r="V426">
        <v>2338.79</v>
      </c>
      <c r="W426">
        <v>2461.88</v>
      </c>
      <c r="Z426" t="s">
        <v>705</v>
      </c>
      <c r="AA426" t="s">
        <v>549</v>
      </c>
      <c r="AB426" t="s">
        <v>748</v>
      </c>
      <c r="AC426" t="s">
        <v>550</v>
      </c>
      <c r="AD426" t="s">
        <v>551</v>
      </c>
      <c r="BR426" t="s">
        <v>549</v>
      </c>
    </row>
    <row r="427" spans="1:70">
      <c r="A427" t="s">
        <v>2108</v>
      </c>
      <c r="B427" t="s">
        <v>252</v>
      </c>
      <c r="C427" t="s">
        <v>725</v>
      </c>
      <c r="D427" t="s">
        <v>2109</v>
      </c>
      <c r="E427" t="s">
        <v>254</v>
      </c>
      <c r="F427">
        <v>1</v>
      </c>
      <c r="G427" t="s">
        <v>539</v>
      </c>
      <c r="H427" t="s">
        <v>2110</v>
      </c>
      <c r="I427" t="s">
        <v>748</v>
      </c>
      <c r="J427" t="s">
        <v>542</v>
      </c>
      <c r="K427">
        <v>27365.33</v>
      </c>
      <c r="L427">
        <v>0</v>
      </c>
      <c r="M427" t="s">
        <v>1708</v>
      </c>
      <c r="N427" t="s">
        <v>544</v>
      </c>
      <c r="O427">
        <v>245.97</v>
      </c>
      <c r="P427">
        <v>24843.439999999999</v>
      </c>
      <c r="Q427">
        <v>2521.89</v>
      </c>
      <c r="R427" t="s">
        <v>2111</v>
      </c>
      <c r="S427">
        <v>1</v>
      </c>
      <c r="T427" t="s">
        <v>588</v>
      </c>
      <c r="U427" t="s">
        <v>547</v>
      </c>
      <c r="V427">
        <v>3579.19</v>
      </c>
      <c r="W427">
        <v>3976.88</v>
      </c>
      <c r="Z427" t="s">
        <v>589</v>
      </c>
      <c r="AA427" t="s">
        <v>549</v>
      </c>
      <c r="AB427" t="s">
        <v>748</v>
      </c>
      <c r="AC427" t="s">
        <v>550</v>
      </c>
      <c r="AD427" t="s">
        <v>551</v>
      </c>
      <c r="AE427" t="s">
        <v>252</v>
      </c>
      <c r="AF427" t="s">
        <v>2112</v>
      </c>
      <c r="AG427" t="s">
        <v>2113</v>
      </c>
      <c r="AI427" t="s">
        <v>2114</v>
      </c>
      <c r="AJ427" t="s">
        <v>2115</v>
      </c>
      <c r="AK427" t="s">
        <v>556</v>
      </c>
      <c r="AM427" t="s">
        <v>2116</v>
      </c>
      <c r="AN427" t="s">
        <v>558</v>
      </c>
      <c r="AO427" t="s">
        <v>253</v>
      </c>
      <c r="AP427" t="s">
        <v>549</v>
      </c>
      <c r="AQ427" t="s">
        <v>549</v>
      </c>
      <c r="AR427" t="s">
        <v>2117</v>
      </c>
      <c r="AS427" t="s">
        <v>252</v>
      </c>
      <c r="AT427" t="s">
        <v>2112</v>
      </c>
      <c r="AU427" t="s">
        <v>2113</v>
      </c>
      <c r="AW427" t="s">
        <v>2114</v>
      </c>
      <c r="AX427" t="s">
        <v>2115</v>
      </c>
      <c r="AY427" t="s">
        <v>556</v>
      </c>
      <c r="BA427" t="s">
        <v>2116</v>
      </c>
      <c r="BB427" t="s">
        <v>558</v>
      </c>
      <c r="BC427" t="s">
        <v>253</v>
      </c>
      <c r="BD427" t="s">
        <v>2117</v>
      </c>
      <c r="BH427" t="s">
        <v>560</v>
      </c>
      <c r="BI427" t="s">
        <v>561</v>
      </c>
      <c r="BK427" t="s">
        <v>607</v>
      </c>
      <c r="BL427" t="s">
        <v>562</v>
      </c>
      <c r="BM427" t="s">
        <v>2118</v>
      </c>
      <c r="BN427">
        <v>1</v>
      </c>
      <c r="BO427">
        <v>245.97</v>
      </c>
      <c r="BR427" t="s">
        <v>549</v>
      </c>
    </row>
    <row r="428" spans="1:70">
      <c r="A428" t="s">
        <v>2108</v>
      </c>
      <c r="B428" t="s">
        <v>252</v>
      </c>
      <c r="C428" t="s">
        <v>725</v>
      </c>
      <c r="D428" t="s">
        <v>2109</v>
      </c>
      <c r="E428" t="s">
        <v>254</v>
      </c>
      <c r="F428">
        <v>1</v>
      </c>
      <c r="H428" t="s">
        <v>2110</v>
      </c>
      <c r="R428" t="s">
        <v>2111</v>
      </c>
      <c r="S428">
        <v>1</v>
      </c>
      <c r="T428" t="s">
        <v>649</v>
      </c>
      <c r="U428" t="s">
        <v>547</v>
      </c>
      <c r="V428">
        <v>3408.75</v>
      </c>
      <c r="W428">
        <v>3787.5</v>
      </c>
      <c r="Z428" t="s">
        <v>650</v>
      </c>
      <c r="AA428" t="s">
        <v>549</v>
      </c>
      <c r="AB428" t="s">
        <v>748</v>
      </c>
      <c r="AC428" t="s">
        <v>550</v>
      </c>
      <c r="AD428" t="s">
        <v>551</v>
      </c>
      <c r="BR428" t="s">
        <v>549</v>
      </c>
    </row>
    <row r="429" spans="1:70">
      <c r="A429" t="s">
        <v>2108</v>
      </c>
      <c r="B429" t="s">
        <v>252</v>
      </c>
      <c r="C429" t="s">
        <v>725</v>
      </c>
      <c r="D429" t="s">
        <v>2109</v>
      </c>
      <c r="E429" t="s">
        <v>254</v>
      </c>
      <c r="F429">
        <v>1</v>
      </c>
      <c r="H429" t="s">
        <v>2110</v>
      </c>
      <c r="R429" t="s">
        <v>2111</v>
      </c>
      <c r="S429">
        <v>1</v>
      </c>
      <c r="T429" t="s">
        <v>584</v>
      </c>
      <c r="U429" t="s">
        <v>547</v>
      </c>
      <c r="V429">
        <v>1767.44</v>
      </c>
      <c r="W429">
        <v>1963.82</v>
      </c>
      <c r="Z429" t="s">
        <v>585</v>
      </c>
      <c r="AA429" t="s">
        <v>549</v>
      </c>
      <c r="AB429" t="s">
        <v>748</v>
      </c>
      <c r="AC429" t="s">
        <v>550</v>
      </c>
      <c r="AD429" t="s">
        <v>551</v>
      </c>
      <c r="BR429" t="s">
        <v>549</v>
      </c>
    </row>
    <row r="430" spans="1:70">
      <c r="A430" t="s">
        <v>2108</v>
      </c>
      <c r="B430" t="s">
        <v>252</v>
      </c>
      <c r="C430" t="s">
        <v>725</v>
      </c>
      <c r="D430" t="s">
        <v>2109</v>
      </c>
      <c r="E430" t="s">
        <v>254</v>
      </c>
      <c r="F430">
        <v>1</v>
      </c>
      <c r="H430" t="s">
        <v>2110</v>
      </c>
      <c r="R430" t="s">
        <v>2111</v>
      </c>
      <c r="S430">
        <v>1</v>
      </c>
      <c r="T430" t="s">
        <v>595</v>
      </c>
      <c r="U430" t="s">
        <v>547</v>
      </c>
      <c r="V430">
        <v>6476.63</v>
      </c>
      <c r="W430">
        <v>7196.25</v>
      </c>
      <c r="Z430" t="s">
        <v>596</v>
      </c>
      <c r="AA430" t="s">
        <v>549</v>
      </c>
      <c r="AB430" t="s">
        <v>748</v>
      </c>
      <c r="AC430" t="s">
        <v>550</v>
      </c>
      <c r="AD430" t="s">
        <v>551</v>
      </c>
      <c r="BR430" t="s">
        <v>549</v>
      </c>
    </row>
    <row r="431" spans="1:70">
      <c r="A431" t="s">
        <v>2108</v>
      </c>
      <c r="B431" t="s">
        <v>252</v>
      </c>
      <c r="C431" t="s">
        <v>725</v>
      </c>
      <c r="D431" t="s">
        <v>2109</v>
      </c>
      <c r="E431" t="s">
        <v>254</v>
      </c>
      <c r="F431">
        <v>1</v>
      </c>
      <c r="H431" t="s">
        <v>2110</v>
      </c>
      <c r="R431" t="s">
        <v>2111</v>
      </c>
      <c r="S431">
        <v>1</v>
      </c>
      <c r="T431" t="s">
        <v>921</v>
      </c>
      <c r="U431" t="s">
        <v>547</v>
      </c>
      <c r="V431">
        <v>1158.98</v>
      </c>
      <c r="W431">
        <v>1287.75</v>
      </c>
      <c r="Z431" t="s">
        <v>922</v>
      </c>
      <c r="AA431" t="s">
        <v>549</v>
      </c>
      <c r="AB431" t="s">
        <v>748</v>
      </c>
      <c r="AC431" t="s">
        <v>550</v>
      </c>
      <c r="AD431" t="s">
        <v>551</v>
      </c>
      <c r="BR431" t="s">
        <v>549</v>
      </c>
    </row>
    <row r="432" spans="1:70">
      <c r="A432" t="s">
        <v>2108</v>
      </c>
      <c r="B432" t="s">
        <v>252</v>
      </c>
      <c r="C432" t="s">
        <v>725</v>
      </c>
      <c r="D432" t="s">
        <v>2109</v>
      </c>
      <c r="E432" t="s">
        <v>254</v>
      </c>
      <c r="F432">
        <v>1</v>
      </c>
      <c r="H432" t="s">
        <v>2110</v>
      </c>
      <c r="R432" t="s">
        <v>2111</v>
      </c>
      <c r="S432">
        <v>1</v>
      </c>
      <c r="T432" t="s">
        <v>907</v>
      </c>
      <c r="U432" t="s">
        <v>547</v>
      </c>
      <c r="V432">
        <v>2897.44</v>
      </c>
      <c r="W432">
        <v>3219.38</v>
      </c>
      <c r="Z432" t="s">
        <v>908</v>
      </c>
      <c r="AA432" t="s">
        <v>549</v>
      </c>
      <c r="AB432" t="s">
        <v>748</v>
      </c>
      <c r="AC432" t="s">
        <v>550</v>
      </c>
      <c r="AD432" t="s">
        <v>551</v>
      </c>
      <c r="BR432" t="s">
        <v>549</v>
      </c>
    </row>
    <row r="433" spans="1:70">
      <c r="A433" t="s">
        <v>2108</v>
      </c>
      <c r="B433" t="s">
        <v>252</v>
      </c>
      <c r="C433" t="s">
        <v>725</v>
      </c>
      <c r="D433" t="s">
        <v>2109</v>
      </c>
      <c r="E433" t="s">
        <v>254</v>
      </c>
      <c r="F433">
        <v>1</v>
      </c>
      <c r="H433" t="s">
        <v>2110</v>
      </c>
      <c r="R433" t="s">
        <v>2111</v>
      </c>
      <c r="S433">
        <v>1</v>
      </c>
      <c r="T433" t="s">
        <v>1033</v>
      </c>
      <c r="U433" t="s">
        <v>547</v>
      </c>
      <c r="V433">
        <v>2146.25</v>
      </c>
      <c r="W433">
        <v>2525</v>
      </c>
      <c r="X433">
        <v>2146.25</v>
      </c>
      <c r="Z433" t="s">
        <v>1034</v>
      </c>
      <c r="AA433" t="s">
        <v>549</v>
      </c>
      <c r="AB433" t="s">
        <v>748</v>
      </c>
      <c r="AC433" t="s">
        <v>550</v>
      </c>
      <c r="AD433" t="s">
        <v>551</v>
      </c>
      <c r="BR433" t="s">
        <v>549</v>
      </c>
    </row>
    <row r="434" spans="1:70">
      <c r="A434" t="s">
        <v>2108</v>
      </c>
      <c r="B434" t="s">
        <v>252</v>
      </c>
      <c r="C434" t="s">
        <v>725</v>
      </c>
      <c r="D434" t="s">
        <v>2109</v>
      </c>
      <c r="E434" t="s">
        <v>254</v>
      </c>
      <c r="F434">
        <v>1</v>
      </c>
      <c r="H434" t="s">
        <v>2110</v>
      </c>
      <c r="R434" t="s">
        <v>2111</v>
      </c>
      <c r="S434">
        <v>2</v>
      </c>
      <c r="T434" t="s">
        <v>616</v>
      </c>
      <c r="U434" t="s">
        <v>547</v>
      </c>
      <c r="V434">
        <v>1704.38</v>
      </c>
      <c r="W434">
        <v>1893.75</v>
      </c>
      <c r="Z434" t="s">
        <v>617</v>
      </c>
      <c r="AA434" t="s">
        <v>549</v>
      </c>
      <c r="AB434" t="s">
        <v>748</v>
      </c>
      <c r="AC434" t="s">
        <v>550</v>
      </c>
      <c r="AD434" t="s">
        <v>551</v>
      </c>
      <c r="BR434" t="s">
        <v>549</v>
      </c>
    </row>
    <row r="435" spans="1:70">
      <c r="A435" t="s">
        <v>2119</v>
      </c>
      <c r="B435" t="s">
        <v>201</v>
      </c>
      <c r="C435" t="s">
        <v>1362</v>
      </c>
      <c r="D435" t="s">
        <v>1005</v>
      </c>
      <c r="E435" t="s">
        <v>203</v>
      </c>
      <c r="F435">
        <v>1</v>
      </c>
      <c r="G435" t="s">
        <v>539</v>
      </c>
      <c r="H435" t="s">
        <v>2120</v>
      </c>
      <c r="I435" t="s">
        <v>748</v>
      </c>
      <c r="J435" t="s">
        <v>542</v>
      </c>
      <c r="K435">
        <v>4090.5</v>
      </c>
      <c r="L435">
        <v>400</v>
      </c>
      <c r="M435" t="s">
        <v>570</v>
      </c>
      <c r="N435" t="s">
        <v>544</v>
      </c>
      <c r="O435">
        <v>107.17</v>
      </c>
      <c r="P435">
        <v>4490.5</v>
      </c>
      <c r="R435" t="s">
        <v>2121</v>
      </c>
      <c r="S435">
        <v>1</v>
      </c>
      <c r="T435" t="s">
        <v>586</v>
      </c>
      <c r="U435" t="s">
        <v>547</v>
      </c>
      <c r="V435">
        <v>4090.5</v>
      </c>
      <c r="W435">
        <v>4090.5</v>
      </c>
      <c r="Z435" t="s">
        <v>587</v>
      </c>
      <c r="AA435" t="s">
        <v>549</v>
      </c>
      <c r="AB435" t="s">
        <v>748</v>
      </c>
      <c r="AC435" t="s">
        <v>550</v>
      </c>
      <c r="AD435" t="s">
        <v>551</v>
      </c>
      <c r="AE435" t="s">
        <v>201</v>
      </c>
      <c r="AF435" t="s">
        <v>1365</v>
      </c>
      <c r="AH435" t="s">
        <v>1366</v>
      </c>
      <c r="AI435" t="s">
        <v>601</v>
      </c>
      <c r="AJ435" t="s">
        <v>1367</v>
      </c>
      <c r="AK435" t="s">
        <v>556</v>
      </c>
      <c r="AM435" t="s">
        <v>1368</v>
      </c>
      <c r="AN435" t="s">
        <v>558</v>
      </c>
      <c r="AO435" t="s">
        <v>1369</v>
      </c>
      <c r="AP435" t="s">
        <v>1370</v>
      </c>
      <c r="AQ435" t="s">
        <v>1368</v>
      </c>
      <c r="AR435" t="s">
        <v>1370</v>
      </c>
      <c r="AS435" t="s">
        <v>201</v>
      </c>
      <c r="AT435" t="s">
        <v>1365</v>
      </c>
      <c r="AV435" t="s">
        <v>1366</v>
      </c>
      <c r="AW435" t="s">
        <v>601</v>
      </c>
      <c r="AX435" t="s">
        <v>1367</v>
      </c>
      <c r="AY435" t="s">
        <v>556</v>
      </c>
      <c r="BA435" t="s">
        <v>1368</v>
      </c>
      <c r="BB435" t="s">
        <v>558</v>
      </c>
      <c r="BC435" t="s">
        <v>1369</v>
      </c>
      <c r="BD435" t="s">
        <v>1370</v>
      </c>
      <c r="BH435" t="s">
        <v>560</v>
      </c>
      <c r="BI435" t="s">
        <v>561</v>
      </c>
      <c r="BK435" t="s">
        <v>607</v>
      </c>
      <c r="BL435" t="s">
        <v>562</v>
      </c>
      <c r="BM435" t="s">
        <v>2122</v>
      </c>
      <c r="BN435">
        <v>1</v>
      </c>
      <c r="BO435">
        <v>40.5</v>
      </c>
      <c r="BP435">
        <v>20</v>
      </c>
      <c r="BQ435">
        <v>66.67</v>
      </c>
      <c r="BR435" t="s">
        <v>549</v>
      </c>
    </row>
    <row r="436" spans="1:70">
      <c r="A436" t="s">
        <v>2123</v>
      </c>
      <c r="B436" t="s">
        <v>114</v>
      </c>
      <c r="C436" t="s">
        <v>770</v>
      </c>
      <c r="D436" t="s">
        <v>771</v>
      </c>
      <c r="E436" t="s">
        <v>135</v>
      </c>
      <c r="F436">
        <v>1</v>
      </c>
      <c r="G436" t="s">
        <v>539</v>
      </c>
      <c r="H436" t="s">
        <v>2124</v>
      </c>
      <c r="I436" t="s">
        <v>748</v>
      </c>
      <c r="J436" t="s">
        <v>542</v>
      </c>
      <c r="K436">
        <v>28179.02</v>
      </c>
      <c r="L436">
        <v>0</v>
      </c>
      <c r="M436" t="s">
        <v>1708</v>
      </c>
      <c r="N436" t="s">
        <v>544</v>
      </c>
      <c r="O436">
        <v>251.1</v>
      </c>
      <c r="P436">
        <v>25361.11</v>
      </c>
      <c r="Q436">
        <v>2817.91</v>
      </c>
      <c r="R436" t="s">
        <v>2125</v>
      </c>
      <c r="S436">
        <v>3</v>
      </c>
      <c r="T436" t="s">
        <v>586</v>
      </c>
      <c r="U436" t="s">
        <v>547</v>
      </c>
      <c r="V436">
        <v>3681.45</v>
      </c>
      <c r="W436">
        <v>4090.5</v>
      </c>
      <c r="Z436" t="s">
        <v>587</v>
      </c>
      <c r="AA436" t="s">
        <v>549</v>
      </c>
      <c r="AB436" t="s">
        <v>748</v>
      </c>
      <c r="AC436" t="s">
        <v>550</v>
      </c>
      <c r="AD436" t="s">
        <v>551</v>
      </c>
      <c r="AE436" t="s">
        <v>114</v>
      </c>
      <c r="AF436" t="s">
        <v>774</v>
      </c>
      <c r="AG436" t="s">
        <v>775</v>
      </c>
      <c r="AH436" t="s">
        <v>114</v>
      </c>
      <c r="AI436" t="s">
        <v>688</v>
      </c>
      <c r="AJ436" t="s">
        <v>776</v>
      </c>
      <c r="AK436" t="s">
        <v>556</v>
      </c>
      <c r="AM436" t="s">
        <v>777</v>
      </c>
      <c r="AN436" t="s">
        <v>558</v>
      </c>
      <c r="AO436" t="s">
        <v>115</v>
      </c>
      <c r="AP436" t="s">
        <v>778</v>
      </c>
      <c r="AQ436" t="s">
        <v>777</v>
      </c>
      <c r="AR436" t="s">
        <v>778</v>
      </c>
      <c r="AS436" t="s">
        <v>114</v>
      </c>
      <c r="AT436" t="s">
        <v>774</v>
      </c>
      <c r="AU436" t="s">
        <v>775</v>
      </c>
      <c r="AV436" t="s">
        <v>114</v>
      </c>
      <c r="AW436" t="s">
        <v>688</v>
      </c>
      <c r="AX436" t="s">
        <v>776</v>
      </c>
      <c r="AY436" t="s">
        <v>556</v>
      </c>
      <c r="BA436" t="s">
        <v>777</v>
      </c>
      <c r="BB436" t="s">
        <v>558</v>
      </c>
      <c r="BC436" t="s">
        <v>115</v>
      </c>
      <c r="BD436" t="s">
        <v>778</v>
      </c>
      <c r="BH436" t="s">
        <v>560</v>
      </c>
      <c r="BI436" t="s">
        <v>561</v>
      </c>
      <c r="BK436" t="s">
        <v>607</v>
      </c>
      <c r="BL436" t="s">
        <v>562</v>
      </c>
      <c r="BM436" t="s">
        <v>2126</v>
      </c>
      <c r="BN436">
        <v>1</v>
      </c>
      <c r="BO436">
        <v>251.1</v>
      </c>
      <c r="BR436" t="s">
        <v>549</v>
      </c>
    </row>
    <row r="437" spans="1:70">
      <c r="A437" t="s">
        <v>2123</v>
      </c>
      <c r="B437" t="s">
        <v>114</v>
      </c>
      <c r="C437" t="s">
        <v>770</v>
      </c>
      <c r="D437" t="s">
        <v>771</v>
      </c>
      <c r="E437" t="s">
        <v>135</v>
      </c>
      <c r="F437">
        <v>1</v>
      </c>
      <c r="H437" t="s">
        <v>2124</v>
      </c>
      <c r="R437" t="s">
        <v>2125</v>
      </c>
      <c r="S437">
        <v>4</v>
      </c>
      <c r="T437" t="s">
        <v>588</v>
      </c>
      <c r="U437" t="s">
        <v>547</v>
      </c>
      <c r="V437">
        <v>3579.19</v>
      </c>
      <c r="W437">
        <v>3976.88</v>
      </c>
      <c r="Z437" t="s">
        <v>589</v>
      </c>
      <c r="AA437" t="s">
        <v>549</v>
      </c>
      <c r="AB437" t="s">
        <v>748</v>
      </c>
      <c r="AC437" t="s">
        <v>550</v>
      </c>
      <c r="AD437" t="s">
        <v>551</v>
      </c>
      <c r="BR437" t="s">
        <v>549</v>
      </c>
    </row>
    <row r="438" spans="1:70">
      <c r="A438" t="s">
        <v>2127</v>
      </c>
      <c r="B438" t="s">
        <v>401</v>
      </c>
      <c r="C438" t="s">
        <v>2128</v>
      </c>
      <c r="D438" t="s">
        <v>2129</v>
      </c>
      <c r="E438" t="s">
        <v>402</v>
      </c>
      <c r="F438">
        <v>1</v>
      </c>
      <c r="G438" t="s">
        <v>539</v>
      </c>
      <c r="H438" t="s">
        <v>2130</v>
      </c>
      <c r="I438" t="s">
        <v>748</v>
      </c>
      <c r="J438" t="s">
        <v>542</v>
      </c>
      <c r="K438">
        <v>22851.88</v>
      </c>
      <c r="L438">
        <v>0</v>
      </c>
      <c r="M438" t="s">
        <v>1708</v>
      </c>
      <c r="N438" t="s">
        <v>544</v>
      </c>
      <c r="O438">
        <v>203.63</v>
      </c>
      <c r="P438">
        <v>20566.7</v>
      </c>
      <c r="Q438">
        <v>2285.1799999999998</v>
      </c>
      <c r="R438" t="s">
        <v>2131</v>
      </c>
      <c r="S438">
        <v>5</v>
      </c>
      <c r="T438" t="s">
        <v>837</v>
      </c>
      <c r="U438" t="s">
        <v>547</v>
      </c>
      <c r="V438">
        <v>1287.3699999999999</v>
      </c>
      <c r="W438">
        <v>1430.41</v>
      </c>
      <c r="Z438" t="s">
        <v>838</v>
      </c>
      <c r="AA438" t="s">
        <v>549</v>
      </c>
      <c r="AB438" t="s">
        <v>748</v>
      </c>
      <c r="AC438" t="s">
        <v>550</v>
      </c>
      <c r="AD438" t="s">
        <v>551</v>
      </c>
      <c r="AE438" t="s">
        <v>401</v>
      </c>
      <c r="AF438" t="s">
        <v>2132</v>
      </c>
      <c r="AH438" t="s">
        <v>2133</v>
      </c>
      <c r="AI438" t="s">
        <v>1251</v>
      </c>
      <c r="AJ438" t="s">
        <v>1252</v>
      </c>
      <c r="AK438" t="s">
        <v>556</v>
      </c>
      <c r="AM438" t="s">
        <v>1253</v>
      </c>
      <c r="AN438" t="s">
        <v>558</v>
      </c>
      <c r="AO438" t="s">
        <v>346</v>
      </c>
      <c r="AP438" t="s">
        <v>1254</v>
      </c>
      <c r="AQ438" t="s">
        <v>1253</v>
      </c>
      <c r="AR438" t="s">
        <v>1254</v>
      </c>
      <c r="AS438" t="s">
        <v>401</v>
      </c>
      <c r="AT438" t="s">
        <v>2132</v>
      </c>
      <c r="AV438" t="s">
        <v>2133</v>
      </c>
      <c r="AW438" t="s">
        <v>1251</v>
      </c>
      <c r="AX438" t="s">
        <v>1252</v>
      </c>
      <c r="AY438" t="s">
        <v>556</v>
      </c>
      <c r="BA438" t="s">
        <v>1253</v>
      </c>
      <c r="BB438" t="s">
        <v>558</v>
      </c>
      <c r="BC438" t="s">
        <v>346</v>
      </c>
      <c r="BD438" t="s">
        <v>1254</v>
      </c>
      <c r="BH438" t="s">
        <v>560</v>
      </c>
      <c r="BI438" t="s">
        <v>561</v>
      </c>
      <c r="BK438" t="s">
        <v>607</v>
      </c>
      <c r="BL438" t="s">
        <v>562</v>
      </c>
      <c r="BM438" t="s">
        <v>2134</v>
      </c>
      <c r="BN438">
        <v>1</v>
      </c>
      <c r="BO438">
        <v>203.63</v>
      </c>
      <c r="BR438" t="s">
        <v>549</v>
      </c>
    </row>
    <row r="439" spans="1:70">
      <c r="A439" t="s">
        <v>2127</v>
      </c>
      <c r="B439" t="s">
        <v>401</v>
      </c>
      <c r="C439" t="s">
        <v>2128</v>
      </c>
      <c r="D439" t="s">
        <v>2129</v>
      </c>
      <c r="E439" t="s">
        <v>402</v>
      </c>
      <c r="F439">
        <v>1</v>
      </c>
      <c r="H439" t="s">
        <v>2130</v>
      </c>
      <c r="R439" t="s">
        <v>2131</v>
      </c>
      <c r="S439">
        <v>1</v>
      </c>
      <c r="T439" t="s">
        <v>586</v>
      </c>
      <c r="U439" t="s">
        <v>547</v>
      </c>
      <c r="V439">
        <v>3681.45</v>
      </c>
      <c r="W439">
        <v>4090.5</v>
      </c>
      <c r="Z439" t="s">
        <v>587</v>
      </c>
      <c r="AA439" t="s">
        <v>549</v>
      </c>
      <c r="AB439" t="s">
        <v>748</v>
      </c>
      <c r="AC439" t="s">
        <v>550</v>
      </c>
      <c r="AD439" t="s">
        <v>551</v>
      </c>
      <c r="BR439" t="s">
        <v>549</v>
      </c>
    </row>
    <row r="440" spans="1:70">
      <c r="A440" t="s">
        <v>2127</v>
      </c>
      <c r="B440" t="s">
        <v>401</v>
      </c>
      <c r="C440" t="s">
        <v>2128</v>
      </c>
      <c r="D440" t="s">
        <v>2129</v>
      </c>
      <c r="E440" t="s">
        <v>402</v>
      </c>
      <c r="F440">
        <v>1</v>
      </c>
      <c r="H440" t="s">
        <v>2130</v>
      </c>
      <c r="R440" t="s">
        <v>2131</v>
      </c>
      <c r="S440">
        <v>1</v>
      </c>
      <c r="T440" t="s">
        <v>588</v>
      </c>
      <c r="U440" t="s">
        <v>547</v>
      </c>
      <c r="V440">
        <v>3579.19</v>
      </c>
      <c r="W440">
        <v>3976.88</v>
      </c>
      <c r="Z440" t="s">
        <v>589</v>
      </c>
      <c r="AA440" t="s">
        <v>549</v>
      </c>
      <c r="AB440" t="s">
        <v>748</v>
      </c>
      <c r="AC440" t="s">
        <v>550</v>
      </c>
      <c r="AD440" t="s">
        <v>551</v>
      </c>
      <c r="BR440" t="s">
        <v>549</v>
      </c>
    </row>
    <row r="441" spans="1:70">
      <c r="A441" t="s">
        <v>2127</v>
      </c>
      <c r="B441" t="s">
        <v>401</v>
      </c>
      <c r="C441" t="s">
        <v>2128</v>
      </c>
      <c r="D441" t="s">
        <v>2129</v>
      </c>
      <c r="E441" t="s">
        <v>402</v>
      </c>
      <c r="F441">
        <v>1</v>
      </c>
      <c r="H441" t="s">
        <v>2130</v>
      </c>
      <c r="R441" t="s">
        <v>2131</v>
      </c>
      <c r="S441">
        <v>1</v>
      </c>
      <c r="T441" t="s">
        <v>584</v>
      </c>
      <c r="U441" t="s">
        <v>547</v>
      </c>
      <c r="V441">
        <v>1767.44</v>
      </c>
      <c r="W441">
        <v>1963.82</v>
      </c>
      <c r="Z441" t="s">
        <v>585</v>
      </c>
      <c r="AA441" t="s">
        <v>549</v>
      </c>
      <c r="AB441" t="s">
        <v>748</v>
      </c>
      <c r="AC441" t="s">
        <v>550</v>
      </c>
      <c r="AD441" t="s">
        <v>551</v>
      </c>
      <c r="BR441" t="s">
        <v>549</v>
      </c>
    </row>
    <row r="442" spans="1:70">
      <c r="A442" t="s">
        <v>2127</v>
      </c>
      <c r="B442" t="s">
        <v>401</v>
      </c>
      <c r="C442" t="s">
        <v>2128</v>
      </c>
      <c r="D442" t="s">
        <v>2129</v>
      </c>
      <c r="E442" t="s">
        <v>402</v>
      </c>
      <c r="F442">
        <v>1</v>
      </c>
      <c r="H442" t="s">
        <v>2130</v>
      </c>
      <c r="R442" t="s">
        <v>2131</v>
      </c>
      <c r="S442">
        <v>1</v>
      </c>
      <c r="T442" t="s">
        <v>704</v>
      </c>
      <c r="U442" t="s">
        <v>547</v>
      </c>
      <c r="V442">
        <v>2215.69</v>
      </c>
      <c r="W442">
        <v>2461.88</v>
      </c>
      <c r="Z442" t="s">
        <v>705</v>
      </c>
      <c r="AA442" t="s">
        <v>549</v>
      </c>
      <c r="AB442" t="s">
        <v>748</v>
      </c>
      <c r="AC442" t="s">
        <v>550</v>
      </c>
      <c r="AD442" t="s">
        <v>551</v>
      </c>
      <c r="BR442" t="s">
        <v>549</v>
      </c>
    </row>
    <row r="443" spans="1:70">
      <c r="A443" t="s">
        <v>2127</v>
      </c>
      <c r="B443" t="s">
        <v>401</v>
      </c>
      <c r="C443" t="s">
        <v>2128</v>
      </c>
      <c r="D443" t="s">
        <v>2129</v>
      </c>
      <c r="E443" t="s">
        <v>402</v>
      </c>
      <c r="F443">
        <v>1</v>
      </c>
      <c r="H443" t="s">
        <v>2130</v>
      </c>
      <c r="R443" t="s">
        <v>2131</v>
      </c>
      <c r="S443">
        <v>1</v>
      </c>
      <c r="T443" t="s">
        <v>616</v>
      </c>
      <c r="U443" t="s">
        <v>547</v>
      </c>
      <c r="V443">
        <v>1704.38</v>
      </c>
      <c r="W443">
        <v>1893.75</v>
      </c>
      <c r="Z443" t="s">
        <v>617</v>
      </c>
      <c r="AA443" t="s">
        <v>549</v>
      </c>
      <c r="AB443" t="s">
        <v>748</v>
      </c>
      <c r="AC443" t="s">
        <v>550</v>
      </c>
      <c r="AD443" t="s">
        <v>551</v>
      </c>
      <c r="BR443" t="s">
        <v>549</v>
      </c>
    </row>
    <row r="444" spans="1:70">
      <c r="A444" t="s">
        <v>2127</v>
      </c>
      <c r="B444" t="s">
        <v>401</v>
      </c>
      <c r="C444" t="s">
        <v>2128</v>
      </c>
      <c r="D444" t="s">
        <v>2129</v>
      </c>
      <c r="E444" t="s">
        <v>402</v>
      </c>
      <c r="F444">
        <v>1</v>
      </c>
      <c r="H444" t="s">
        <v>2130</v>
      </c>
      <c r="R444" t="s">
        <v>2131</v>
      </c>
      <c r="S444">
        <v>2</v>
      </c>
      <c r="T444" t="s">
        <v>818</v>
      </c>
      <c r="U444" t="s">
        <v>547</v>
      </c>
      <c r="V444">
        <v>590.85</v>
      </c>
      <c r="W444">
        <v>656.5</v>
      </c>
      <c r="Z444" t="s">
        <v>819</v>
      </c>
      <c r="AA444" t="s">
        <v>549</v>
      </c>
      <c r="AB444" t="s">
        <v>748</v>
      </c>
      <c r="AC444" t="s">
        <v>550</v>
      </c>
      <c r="AD444" t="s">
        <v>551</v>
      </c>
      <c r="BR444" t="s">
        <v>549</v>
      </c>
    </row>
    <row r="445" spans="1:70">
      <c r="A445" t="s">
        <v>2135</v>
      </c>
      <c r="B445" t="s">
        <v>162</v>
      </c>
      <c r="C445" t="s">
        <v>2136</v>
      </c>
      <c r="D445" t="s">
        <v>2137</v>
      </c>
      <c r="E445" t="s">
        <v>168</v>
      </c>
      <c r="F445">
        <v>1</v>
      </c>
      <c r="G445" t="s">
        <v>539</v>
      </c>
      <c r="H445" t="s">
        <v>2138</v>
      </c>
      <c r="I445" t="s">
        <v>748</v>
      </c>
      <c r="J445" t="s">
        <v>542</v>
      </c>
      <c r="K445">
        <v>6385.09</v>
      </c>
      <c r="L445">
        <v>400</v>
      </c>
      <c r="M445" t="s">
        <v>570</v>
      </c>
      <c r="N445" t="s">
        <v>544</v>
      </c>
      <c r="O445">
        <v>129.88999999999999</v>
      </c>
      <c r="P445">
        <v>6785.09</v>
      </c>
      <c r="R445" t="s">
        <v>2139</v>
      </c>
      <c r="S445">
        <v>1</v>
      </c>
      <c r="T445" t="s">
        <v>921</v>
      </c>
      <c r="U445" t="s">
        <v>547</v>
      </c>
      <c r="V445">
        <v>1287.75</v>
      </c>
      <c r="W445">
        <v>1287.75</v>
      </c>
      <c r="Z445" t="s">
        <v>922</v>
      </c>
      <c r="AA445" t="s">
        <v>549</v>
      </c>
      <c r="AB445" t="s">
        <v>748</v>
      </c>
      <c r="AC445" t="s">
        <v>550</v>
      </c>
      <c r="AD445" t="s">
        <v>551</v>
      </c>
      <c r="AE445" t="s">
        <v>162</v>
      </c>
      <c r="AF445" t="s">
        <v>2140</v>
      </c>
      <c r="AG445" t="s">
        <v>2141</v>
      </c>
      <c r="AI445" t="s">
        <v>621</v>
      </c>
      <c r="AJ445" t="s">
        <v>2142</v>
      </c>
      <c r="AK445" t="s">
        <v>556</v>
      </c>
      <c r="AM445" t="s">
        <v>2143</v>
      </c>
      <c r="AN445" t="s">
        <v>558</v>
      </c>
      <c r="AO445" t="s">
        <v>163</v>
      </c>
      <c r="AP445" t="s">
        <v>549</v>
      </c>
      <c r="AQ445" t="s">
        <v>549</v>
      </c>
      <c r="AR445" t="s">
        <v>2144</v>
      </c>
      <c r="AS445" t="s">
        <v>162</v>
      </c>
      <c r="AT445" t="s">
        <v>2140</v>
      </c>
      <c r="AU445" t="s">
        <v>2141</v>
      </c>
      <c r="AW445" t="s">
        <v>621</v>
      </c>
      <c r="AX445" t="s">
        <v>2142</v>
      </c>
      <c r="AY445" t="s">
        <v>556</v>
      </c>
      <c r="BA445" t="s">
        <v>2143</v>
      </c>
      <c r="BB445" t="s">
        <v>558</v>
      </c>
      <c r="BC445" t="s">
        <v>163</v>
      </c>
      <c r="BD445" t="s">
        <v>2144</v>
      </c>
      <c r="BH445" t="s">
        <v>560</v>
      </c>
      <c r="BI445" t="s">
        <v>561</v>
      </c>
      <c r="BK445" t="s">
        <v>607</v>
      </c>
      <c r="BL445" t="s">
        <v>562</v>
      </c>
      <c r="BM445" t="s">
        <v>2145</v>
      </c>
      <c r="BN445">
        <v>1</v>
      </c>
      <c r="BO445">
        <v>63.22</v>
      </c>
      <c r="BP445">
        <v>20</v>
      </c>
      <c r="BQ445">
        <v>66.67</v>
      </c>
      <c r="BR445" t="s">
        <v>549</v>
      </c>
    </row>
    <row r="446" spans="1:70">
      <c r="A446" t="s">
        <v>2135</v>
      </c>
      <c r="B446" t="s">
        <v>162</v>
      </c>
      <c r="C446" t="s">
        <v>2136</v>
      </c>
      <c r="D446" t="s">
        <v>2137</v>
      </c>
      <c r="E446" t="s">
        <v>168</v>
      </c>
      <c r="F446">
        <v>1</v>
      </c>
      <c r="H446" t="s">
        <v>2138</v>
      </c>
      <c r="R446" t="s">
        <v>2139</v>
      </c>
      <c r="S446">
        <v>1</v>
      </c>
      <c r="T446" t="s">
        <v>953</v>
      </c>
      <c r="U446" t="s">
        <v>547</v>
      </c>
      <c r="V446">
        <v>1877.96</v>
      </c>
      <c r="W446">
        <v>2209.38</v>
      </c>
      <c r="X446">
        <v>1877.96</v>
      </c>
      <c r="Z446" t="s">
        <v>954</v>
      </c>
      <c r="AA446" t="s">
        <v>549</v>
      </c>
      <c r="AB446" t="s">
        <v>748</v>
      </c>
      <c r="AC446" t="s">
        <v>550</v>
      </c>
      <c r="AD446" t="s">
        <v>551</v>
      </c>
      <c r="BR446" t="s">
        <v>549</v>
      </c>
    </row>
    <row r="447" spans="1:70">
      <c r="A447" t="s">
        <v>2135</v>
      </c>
      <c r="B447" t="s">
        <v>162</v>
      </c>
      <c r="C447" t="s">
        <v>2136</v>
      </c>
      <c r="D447" t="s">
        <v>2137</v>
      </c>
      <c r="E447" t="s">
        <v>168</v>
      </c>
      <c r="F447">
        <v>1</v>
      </c>
      <c r="H447" t="s">
        <v>2138</v>
      </c>
      <c r="R447" t="s">
        <v>2139</v>
      </c>
      <c r="S447">
        <v>1</v>
      </c>
      <c r="T447" t="s">
        <v>907</v>
      </c>
      <c r="U447" t="s">
        <v>547</v>
      </c>
      <c r="V447">
        <v>3219.38</v>
      </c>
      <c r="W447">
        <v>3219.38</v>
      </c>
      <c r="Z447" t="s">
        <v>908</v>
      </c>
      <c r="AA447" t="s">
        <v>549</v>
      </c>
      <c r="AB447" t="s">
        <v>748</v>
      </c>
      <c r="AC447" t="s">
        <v>550</v>
      </c>
      <c r="AD447" t="s">
        <v>551</v>
      </c>
      <c r="BR447" t="s">
        <v>549</v>
      </c>
    </row>
    <row r="448" spans="1:70">
      <c r="A448" t="s">
        <v>2146</v>
      </c>
      <c r="B448" t="s">
        <v>32</v>
      </c>
      <c r="C448" t="s">
        <v>567</v>
      </c>
      <c r="D448" t="s">
        <v>568</v>
      </c>
      <c r="E448" t="s">
        <v>34</v>
      </c>
      <c r="F448">
        <v>2</v>
      </c>
      <c r="G448" t="s">
        <v>539</v>
      </c>
      <c r="H448" t="s">
        <v>2147</v>
      </c>
      <c r="I448" t="s">
        <v>748</v>
      </c>
      <c r="J448" t="s">
        <v>542</v>
      </c>
      <c r="K448">
        <v>31360.5</v>
      </c>
      <c r="L448">
        <v>0</v>
      </c>
      <c r="M448" t="s">
        <v>1708</v>
      </c>
      <c r="N448" t="s">
        <v>544</v>
      </c>
      <c r="O448">
        <v>279.45</v>
      </c>
      <c r="P448">
        <v>28224.46</v>
      </c>
      <c r="Q448">
        <v>3136.04</v>
      </c>
      <c r="R448" t="s">
        <v>2148</v>
      </c>
      <c r="S448">
        <v>2</v>
      </c>
      <c r="T448" t="s">
        <v>628</v>
      </c>
      <c r="U448" t="s">
        <v>547</v>
      </c>
      <c r="V448">
        <v>5567.63</v>
      </c>
      <c r="W448">
        <v>6186.25</v>
      </c>
      <c r="Z448" t="s">
        <v>629</v>
      </c>
      <c r="AA448" t="s">
        <v>549</v>
      </c>
      <c r="AB448" t="s">
        <v>748</v>
      </c>
      <c r="AC448" t="s">
        <v>550</v>
      </c>
      <c r="AD448" t="s">
        <v>551</v>
      </c>
      <c r="AE448" t="s">
        <v>32</v>
      </c>
      <c r="AF448" t="s">
        <v>574</v>
      </c>
      <c r="AG448" t="s">
        <v>575</v>
      </c>
      <c r="AH448" t="s">
        <v>576</v>
      </c>
      <c r="AI448" t="s">
        <v>577</v>
      </c>
      <c r="AJ448" t="s">
        <v>578</v>
      </c>
      <c r="AK448" t="s">
        <v>556</v>
      </c>
      <c r="AM448" t="s">
        <v>579</v>
      </c>
      <c r="AN448" t="s">
        <v>558</v>
      </c>
      <c r="AO448" t="s">
        <v>33</v>
      </c>
      <c r="AP448" t="s">
        <v>580</v>
      </c>
      <c r="AQ448" t="s">
        <v>581</v>
      </c>
      <c r="AR448" t="s">
        <v>582</v>
      </c>
      <c r="AS448" t="s">
        <v>32</v>
      </c>
      <c r="AT448" t="s">
        <v>574</v>
      </c>
      <c r="AU448" t="s">
        <v>575</v>
      </c>
      <c r="AV448" t="s">
        <v>576</v>
      </c>
      <c r="AW448" t="s">
        <v>577</v>
      </c>
      <c r="AX448" t="s">
        <v>578</v>
      </c>
      <c r="AY448" t="s">
        <v>556</v>
      </c>
      <c r="BA448" t="s">
        <v>579</v>
      </c>
      <c r="BB448" t="s">
        <v>558</v>
      </c>
      <c r="BC448" t="s">
        <v>33</v>
      </c>
      <c r="BD448" t="s">
        <v>582</v>
      </c>
      <c r="BH448" t="s">
        <v>560</v>
      </c>
      <c r="BI448" t="s">
        <v>561</v>
      </c>
      <c r="BK448" t="s">
        <v>607</v>
      </c>
      <c r="BL448" t="s">
        <v>562</v>
      </c>
      <c r="BM448" t="s">
        <v>2149</v>
      </c>
      <c r="BN448">
        <v>1</v>
      </c>
      <c r="BO448">
        <v>279.45</v>
      </c>
      <c r="BR448" t="s">
        <v>549</v>
      </c>
    </row>
    <row r="449" spans="1:70">
      <c r="A449" t="s">
        <v>2146</v>
      </c>
      <c r="B449" t="s">
        <v>32</v>
      </c>
      <c r="C449" t="s">
        <v>567</v>
      </c>
      <c r="D449" t="s">
        <v>568</v>
      </c>
      <c r="E449" t="s">
        <v>34</v>
      </c>
      <c r="F449">
        <v>2</v>
      </c>
      <c r="H449" t="s">
        <v>2147</v>
      </c>
      <c r="R449" t="s">
        <v>2148</v>
      </c>
      <c r="S449">
        <v>4</v>
      </c>
      <c r="T449" t="s">
        <v>586</v>
      </c>
      <c r="U449" t="s">
        <v>547</v>
      </c>
      <c r="V449">
        <v>3681.45</v>
      </c>
      <c r="W449">
        <v>4090.5</v>
      </c>
      <c r="Z449" t="s">
        <v>587</v>
      </c>
      <c r="AA449" t="s">
        <v>549</v>
      </c>
      <c r="AB449" t="s">
        <v>748</v>
      </c>
      <c r="AC449" t="s">
        <v>550</v>
      </c>
      <c r="AD449" t="s">
        <v>551</v>
      </c>
      <c r="BR449" t="s">
        <v>549</v>
      </c>
    </row>
    <row r="450" spans="1:70">
      <c r="A450" t="s">
        <v>2146</v>
      </c>
      <c r="B450" t="s">
        <v>32</v>
      </c>
      <c r="C450" t="s">
        <v>567</v>
      </c>
      <c r="D450" t="s">
        <v>568</v>
      </c>
      <c r="E450" t="s">
        <v>34</v>
      </c>
      <c r="F450">
        <v>2</v>
      </c>
      <c r="H450" t="s">
        <v>2147</v>
      </c>
      <c r="R450" t="s">
        <v>2148</v>
      </c>
      <c r="S450">
        <v>4</v>
      </c>
      <c r="T450" t="s">
        <v>818</v>
      </c>
      <c r="U450" t="s">
        <v>547</v>
      </c>
      <c r="V450">
        <v>590.85</v>
      </c>
      <c r="W450">
        <v>656.5</v>
      </c>
      <c r="Z450" t="s">
        <v>819</v>
      </c>
      <c r="AA450" t="s">
        <v>549</v>
      </c>
      <c r="AB450" t="s">
        <v>748</v>
      </c>
      <c r="AC450" t="s">
        <v>550</v>
      </c>
      <c r="AD450" t="s">
        <v>551</v>
      </c>
      <c r="BR450" t="s">
        <v>549</v>
      </c>
    </row>
    <row r="451" spans="1:70">
      <c r="A451" t="s">
        <v>2150</v>
      </c>
      <c r="B451" t="s">
        <v>231</v>
      </c>
      <c r="C451" t="s">
        <v>2151</v>
      </c>
      <c r="D451" t="s">
        <v>2152</v>
      </c>
      <c r="E451" t="s">
        <v>233</v>
      </c>
      <c r="F451">
        <v>1</v>
      </c>
      <c r="G451" t="s">
        <v>539</v>
      </c>
      <c r="H451" t="s">
        <v>2153</v>
      </c>
      <c r="I451" t="s">
        <v>748</v>
      </c>
      <c r="J451" t="s">
        <v>542</v>
      </c>
      <c r="K451">
        <v>2872.19</v>
      </c>
      <c r="L451">
        <v>400</v>
      </c>
      <c r="M451" t="s">
        <v>570</v>
      </c>
      <c r="N451" t="s">
        <v>544</v>
      </c>
      <c r="O451">
        <v>95.11</v>
      </c>
      <c r="P451">
        <v>3272.19</v>
      </c>
      <c r="R451" t="s">
        <v>2154</v>
      </c>
      <c r="S451">
        <v>1</v>
      </c>
      <c r="T451" t="s">
        <v>1359</v>
      </c>
      <c r="U451" t="s">
        <v>547</v>
      </c>
      <c r="V451">
        <v>883.75</v>
      </c>
      <c r="W451">
        <v>883.75</v>
      </c>
      <c r="Z451" t="s">
        <v>1360</v>
      </c>
      <c r="AA451" t="s">
        <v>549</v>
      </c>
      <c r="AB451" t="s">
        <v>748</v>
      </c>
      <c r="AC451" t="s">
        <v>550</v>
      </c>
      <c r="AD451" t="s">
        <v>551</v>
      </c>
      <c r="AE451" t="s">
        <v>231</v>
      </c>
      <c r="AF451" t="s">
        <v>2155</v>
      </c>
      <c r="AI451" t="s">
        <v>2156</v>
      </c>
      <c r="AJ451" t="s">
        <v>2157</v>
      </c>
      <c r="AK451" t="s">
        <v>556</v>
      </c>
      <c r="AM451" t="s">
        <v>2158</v>
      </c>
      <c r="AN451" t="s">
        <v>558</v>
      </c>
      <c r="AO451" t="s">
        <v>232</v>
      </c>
      <c r="AP451" t="s">
        <v>549</v>
      </c>
      <c r="AQ451" t="s">
        <v>549</v>
      </c>
      <c r="AR451" t="s">
        <v>2159</v>
      </c>
      <c r="AS451" t="s">
        <v>231</v>
      </c>
      <c r="AT451" t="s">
        <v>2155</v>
      </c>
      <c r="AW451" t="s">
        <v>2156</v>
      </c>
      <c r="AX451" t="s">
        <v>2157</v>
      </c>
      <c r="AY451" t="s">
        <v>556</v>
      </c>
      <c r="BA451" t="s">
        <v>2158</v>
      </c>
      <c r="BB451" t="s">
        <v>558</v>
      </c>
      <c r="BC451" t="s">
        <v>232</v>
      </c>
      <c r="BD451" t="s">
        <v>2159</v>
      </c>
      <c r="BH451" t="s">
        <v>560</v>
      </c>
      <c r="BI451" t="s">
        <v>561</v>
      </c>
      <c r="BK451" t="s">
        <v>607</v>
      </c>
      <c r="BL451" t="s">
        <v>562</v>
      </c>
      <c r="BM451" t="s">
        <v>2160</v>
      </c>
      <c r="BN451">
        <v>1</v>
      </c>
      <c r="BO451">
        <v>28.44</v>
      </c>
      <c r="BP451">
        <v>20</v>
      </c>
      <c r="BQ451">
        <v>66.67</v>
      </c>
      <c r="BR451" t="s">
        <v>549</v>
      </c>
    </row>
    <row r="452" spans="1:70">
      <c r="A452" t="s">
        <v>2150</v>
      </c>
      <c r="B452" t="s">
        <v>231</v>
      </c>
      <c r="C452" t="s">
        <v>2151</v>
      </c>
      <c r="D452" t="s">
        <v>2152</v>
      </c>
      <c r="E452" t="s">
        <v>233</v>
      </c>
      <c r="F452">
        <v>1</v>
      </c>
      <c r="H452" t="s">
        <v>2153</v>
      </c>
      <c r="R452" t="s">
        <v>2154</v>
      </c>
      <c r="S452">
        <v>1</v>
      </c>
      <c r="T452" t="s">
        <v>933</v>
      </c>
      <c r="U452" t="s">
        <v>547</v>
      </c>
      <c r="V452">
        <v>1988.44</v>
      </c>
      <c r="W452">
        <v>1988.44</v>
      </c>
      <c r="Z452" t="s">
        <v>934</v>
      </c>
      <c r="AA452" t="s">
        <v>549</v>
      </c>
      <c r="AB452" t="s">
        <v>748</v>
      </c>
      <c r="AC452" t="s">
        <v>550</v>
      </c>
      <c r="AD452" t="s">
        <v>551</v>
      </c>
      <c r="BR452" t="s">
        <v>549</v>
      </c>
    </row>
    <row r="453" spans="1:70">
      <c r="A453" t="s">
        <v>2161</v>
      </c>
      <c r="B453" t="s">
        <v>249</v>
      </c>
      <c r="C453" t="s">
        <v>725</v>
      </c>
      <c r="D453" t="s">
        <v>2162</v>
      </c>
      <c r="E453" t="s">
        <v>251</v>
      </c>
      <c r="F453">
        <v>1</v>
      </c>
      <c r="G453" t="s">
        <v>539</v>
      </c>
      <c r="H453" t="s">
        <v>2163</v>
      </c>
      <c r="I453" t="s">
        <v>748</v>
      </c>
      <c r="J453" t="s">
        <v>542</v>
      </c>
      <c r="K453">
        <v>25017.71</v>
      </c>
      <c r="L453">
        <v>0</v>
      </c>
      <c r="M453" t="s">
        <v>1708</v>
      </c>
      <c r="N453" t="s">
        <v>544</v>
      </c>
      <c r="O453">
        <v>222.93</v>
      </c>
      <c r="P453">
        <v>22515.919999999998</v>
      </c>
      <c r="Q453">
        <v>2501.79</v>
      </c>
      <c r="R453" t="s">
        <v>2164</v>
      </c>
      <c r="S453">
        <v>3</v>
      </c>
      <c r="T453" t="s">
        <v>588</v>
      </c>
      <c r="U453" t="s">
        <v>547</v>
      </c>
      <c r="V453">
        <v>3579.19</v>
      </c>
      <c r="W453">
        <v>3976.88</v>
      </c>
      <c r="Z453" t="s">
        <v>589</v>
      </c>
      <c r="AA453" t="s">
        <v>549</v>
      </c>
      <c r="AB453" t="s">
        <v>748</v>
      </c>
      <c r="AC453" t="s">
        <v>550</v>
      </c>
      <c r="AD453" t="s">
        <v>551</v>
      </c>
      <c r="AE453" t="s">
        <v>249</v>
      </c>
      <c r="AF453" t="s">
        <v>2165</v>
      </c>
      <c r="AG453" t="s">
        <v>2166</v>
      </c>
      <c r="AH453" t="s">
        <v>2167</v>
      </c>
      <c r="AI453" t="s">
        <v>577</v>
      </c>
      <c r="AJ453" t="s">
        <v>1120</v>
      </c>
      <c r="AK453" t="s">
        <v>556</v>
      </c>
      <c r="AM453" t="s">
        <v>1121</v>
      </c>
      <c r="AN453" t="s">
        <v>558</v>
      </c>
      <c r="AO453" t="s">
        <v>250</v>
      </c>
      <c r="AP453" t="s">
        <v>2168</v>
      </c>
      <c r="AQ453" t="s">
        <v>1121</v>
      </c>
      <c r="AR453" t="s">
        <v>2169</v>
      </c>
      <c r="AS453" t="s">
        <v>249</v>
      </c>
      <c r="AT453" t="s">
        <v>2165</v>
      </c>
      <c r="AU453" t="s">
        <v>2166</v>
      </c>
      <c r="AV453" t="s">
        <v>2167</v>
      </c>
      <c r="AW453" t="s">
        <v>577</v>
      </c>
      <c r="AX453" t="s">
        <v>1120</v>
      </c>
      <c r="AY453" t="s">
        <v>556</v>
      </c>
      <c r="BA453" t="s">
        <v>1121</v>
      </c>
      <c r="BB453" t="s">
        <v>558</v>
      </c>
      <c r="BC453" t="s">
        <v>250</v>
      </c>
      <c r="BD453" t="s">
        <v>2169</v>
      </c>
      <c r="BH453" t="s">
        <v>560</v>
      </c>
      <c r="BI453" t="s">
        <v>561</v>
      </c>
      <c r="BK453" t="s">
        <v>607</v>
      </c>
      <c r="BL453" t="s">
        <v>562</v>
      </c>
      <c r="BM453" t="s">
        <v>2170</v>
      </c>
      <c r="BN453">
        <v>1</v>
      </c>
      <c r="BO453">
        <v>222.93</v>
      </c>
      <c r="BR453" t="s">
        <v>549</v>
      </c>
    </row>
    <row r="454" spans="1:70">
      <c r="A454" t="s">
        <v>2161</v>
      </c>
      <c r="B454" t="s">
        <v>249</v>
      </c>
      <c r="C454" t="s">
        <v>725</v>
      </c>
      <c r="D454" t="s">
        <v>2162</v>
      </c>
      <c r="E454" t="s">
        <v>251</v>
      </c>
      <c r="F454">
        <v>1</v>
      </c>
      <c r="H454" t="s">
        <v>2163</v>
      </c>
      <c r="R454" t="s">
        <v>2164</v>
      </c>
      <c r="S454">
        <v>3</v>
      </c>
      <c r="T454" t="s">
        <v>1047</v>
      </c>
      <c r="U454" t="s">
        <v>547</v>
      </c>
      <c r="V454">
        <v>3067.87</v>
      </c>
      <c r="W454">
        <v>3408.75</v>
      </c>
      <c r="Z454" t="s">
        <v>610</v>
      </c>
      <c r="AA454" t="s">
        <v>549</v>
      </c>
      <c r="AB454" t="s">
        <v>748</v>
      </c>
      <c r="AC454" t="s">
        <v>550</v>
      </c>
      <c r="AD454" t="s">
        <v>551</v>
      </c>
      <c r="BR454" t="s">
        <v>549</v>
      </c>
    </row>
    <row r="455" spans="1:70">
      <c r="A455" t="s">
        <v>2161</v>
      </c>
      <c r="B455" t="s">
        <v>249</v>
      </c>
      <c r="C455" t="s">
        <v>725</v>
      </c>
      <c r="D455" t="s">
        <v>2162</v>
      </c>
      <c r="E455" t="s">
        <v>251</v>
      </c>
      <c r="F455">
        <v>1</v>
      </c>
      <c r="H455" t="s">
        <v>2163</v>
      </c>
      <c r="R455" t="s">
        <v>2164</v>
      </c>
      <c r="S455">
        <v>2</v>
      </c>
      <c r="T455" t="s">
        <v>837</v>
      </c>
      <c r="U455" t="s">
        <v>547</v>
      </c>
      <c r="V455">
        <v>1287.3699999999999</v>
      </c>
      <c r="W455">
        <v>1430.41</v>
      </c>
      <c r="Z455" t="s">
        <v>838</v>
      </c>
      <c r="AA455" t="s">
        <v>549</v>
      </c>
      <c r="AB455" t="s">
        <v>748</v>
      </c>
      <c r="AC455" t="s">
        <v>550</v>
      </c>
      <c r="AD455" t="s">
        <v>551</v>
      </c>
      <c r="BR455" t="s">
        <v>549</v>
      </c>
    </row>
    <row r="456" spans="1:70">
      <c r="A456" t="s">
        <v>2171</v>
      </c>
      <c r="B456" t="s">
        <v>268</v>
      </c>
      <c r="C456" t="s">
        <v>1567</v>
      </c>
      <c r="D456" t="s">
        <v>1568</v>
      </c>
      <c r="E456" t="s">
        <v>270</v>
      </c>
      <c r="F456">
        <v>1</v>
      </c>
      <c r="G456" t="s">
        <v>539</v>
      </c>
      <c r="H456" t="s">
        <v>2172</v>
      </c>
      <c r="I456" t="s">
        <v>748</v>
      </c>
      <c r="J456" t="s">
        <v>542</v>
      </c>
      <c r="K456">
        <v>28974.38</v>
      </c>
      <c r="L456">
        <v>0</v>
      </c>
      <c r="M456" t="s">
        <v>1708</v>
      </c>
      <c r="N456" t="s">
        <v>544</v>
      </c>
      <c r="O456">
        <v>258.19</v>
      </c>
      <c r="P456">
        <v>26076.94</v>
      </c>
      <c r="Q456">
        <v>2897.44</v>
      </c>
      <c r="R456" t="s">
        <v>2173</v>
      </c>
      <c r="S456">
        <v>2</v>
      </c>
      <c r="T456" t="s">
        <v>1580</v>
      </c>
      <c r="U456" t="s">
        <v>547</v>
      </c>
      <c r="V456">
        <v>13038.47</v>
      </c>
      <c r="W456">
        <v>14487.19</v>
      </c>
      <c r="Z456" t="s">
        <v>1581</v>
      </c>
      <c r="AA456" t="s">
        <v>549</v>
      </c>
      <c r="AB456" t="s">
        <v>748</v>
      </c>
      <c r="AC456" t="s">
        <v>550</v>
      </c>
      <c r="AD456" t="s">
        <v>551</v>
      </c>
      <c r="AE456" t="s">
        <v>1571</v>
      </c>
      <c r="AF456" t="s">
        <v>1572</v>
      </c>
      <c r="AG456" t="s">
        <v>1573</v>
      </c>
      <c r="AH456" t="s">
        <v>1573</v>
      </c>
      <c r="AI456" t="s">
        <v>1574</v>
      </c>
      <c r="AJ456" t="s">
        <v>1575</v>
      </c>
      <c r="AK456" t="s">
        <v>556</v>
      </c>
      <c r="AM456" t="s">
        <v>690</v>
      </c>
      <c r="AN456" t="s">
        <v>558</v>
      </c>
      <c r="AO456" t="s">
        <v>269</v>
      </c>
      <c r="AP456" t="s">
        <v>1576</v>
      </c>
      <c r="AQ456" t="s">
        <v>1577</v>
      </c>
      <c r="AR456" t="s">
        <v>1578</v>
      </c>
      <c r="AS456" t="s">
        <v>1571</v>
      </c>
      <c r="AT456" t="s">
        <v>1572</v>
      </c>
      <c r="AU456" t="s">
        <v>1573</v>
      </c>
      <c r="AV456" t="s">
        <v>1573</v>
      </c>
      <c r="AW456" t="s">
        <v>1574</v>
      </c>
      <c r="AX456" t="s">
        <v>1575</v>
      </c>
      <c r="AY456" t="s">
        <v>556</v>
      </c>
      <c r="BA456" t="s">
        <v>690</v>
      </c>
      <c r="BB456" t="s">
        <v>558</v>
      </c>
      <c r="BC456" t="s">
        <v>269</v>
      </c>
      <c r="BD456" t="s">
        <v>1578</v>
      </c>
      <c r="BH456" t="s">
        <v>560</v>
      </c>
      <c r="BI456" t="s">
        <v>561</v>
      </c>
      <c r="BK456" t="s">
        <v>607</v>
      </c>
      <c r="BL456" t="s">
        <v>562</v>
      </c>
      <c r="BM456" t="s">
        <v>2174</v>
      </c>
      <c r="BN456">
        <v>1</v>
      </c>
      <c r="BO456">
        <v>258.19</v>
      </c>
      <c r="BR456" t="s">
        <v>549</v>
      </c>
    </row>
    <row r="457" spans="1:70">
      <c r="A457" t="s">
        <v>2175</v>
      </c>
      <c r="B457" t="s">
        <v>246</v>
      </c>
      <c r="C457" t="s">
        <v>1999</v>
      </c>
      <c r="D457" t="s">
        <v>2176</v>
      </c>
      <c r="E457" t="s">
        <v>248</v>
      </c>
      <c r="F457">
        <v>1</v>
      </c>
      <c r="G457" t="s">
        <v>539</v>
      </c>
      <c r="H457" t="s">
        <v>2177</v>
      </c>
      <c r="I457" t="s">
        <v>748</v>
      </c>
      <c r="J457" t="s">
        <v>542</v>
      </c>
      <c r="K457">
        <v>34768.120000000003</v>
      </c>
      <c r="L457">
        <v>0</v>
      </c>
      <c r="M457" t="s">
        <v>1708</v>
      </c>
      <c r="N457" t="s">
        <v>544</v>
      </c>
      <c r="O457">
        <v>311.67</v>
      </c>
      <c r="P457">
        <v>31479.119999999999</v>
      </c>
      <c r="Q457">
        <v>3289</v>
      </c>
      <c r="R457" t="s">
        <v>2178</v>
      </c>
      <c r="S457">
        <v>1</v>
      </c>
      <c r="T457" t="s">
        <v>953</v>
      </c>
      <c r="U457" t="s">
        <v>547</v>
      </c>
      <c r="V457">
        <v>1877.96</v>
      </c>
      <c r="W457">
        <v>2209.38</v>
      </c>
      <c r="X457">
        <v>1877.96</v>
      </c>
      <c r="Z457" t="s">
        <v>954</v>
      </c>
      <c r="AA457" t="s">
        <v>549</v>
      </c>
      <c r="AB457" t="s">
        <v>748</v>
      </c>
      <c r="AC457" t="s">
        <v>550</v>
      </c>
      <c r="AD457" t="s">
        <v>551</v>
      </c>
      <c r="AE457" t="s">
        <v>246</v>
      </c>
      <c r="AF457" t="s">
        <v>2179</v>
      </c>
      <c r="AI457" t="s">
        <v>1251</v>
      </c>
      <c r="AJ457" t="s">
        <v>2180</v>
      </c>
      <c r="AK457" t="s">
        <v>556</v>
      </c>
      <c r="AM457" t="s">
        <v>2181</v>
      </c>
      <c r="AN457" t="s">
        <v>558</v>
      </c>
      <c r="AO457" t="s">
        <v>247</v>
      </c>
      <c r="AP457" t="s">
        <v>549</v>
      </c>
      <c r="AQ457" t="s">
        <v>549</v>
      </c>
      <c r="AR457" t="s">
        <v>2182</v>
      </c>
      <c r="AS457" t="s">
        <v>246</v>
      </c>
      <c r="AT457" t="s">
        <v>2179</v>
      </c>
      <c r="AW457" t="s">
        <v>1251</v>
      </c>
      <c r="AX457" t="s">
        <v>2180</v>
      </c>
      <c r="AY457" t="s">
        <v>556</v>
      </c>
      <c r="BA457" t="s">
        <v>2181</v>
      </c>
      <c r="BB457" t="s">
        <v>558</v>
      </c>
      <c r="BC457" t="s">
        <v>247</v>
      </c>
      <c r="BD457" t="s">
        <v>2182</v>
      </c>
      <c r="BH457" t="s">
        <v>560</v>
      </c>
      <c r="BI457" t="s">
        <v>561</v>
      </c>
      <c r="BK457" t="s">
        <v>607</v>
      </c>
      <c r="BL457" t="s">
        <v>562</v>
      </c>
      <c r="BM457" t="s">
        <v>2183</v>
      </c>
      <c r="BN457">
        <v>1</v>
      </c>
      <c r="BO457">
        <v>311.67</v>
      </c>
      <c r="BR457" t="s">
        <v>549</v>
      </c>
    </row>
    <row r="458" spans="1:70">
      <c r="A458" t="s">
        <v>2175</v>
      </c>
      <c r="B458" t="s">
        <v>246</v>
      </c>
      <c r="C458" t="s">
        <v>1999</v>
      </c>
      <c r="D458" t="s">
        <v>2176</v>
      </c>
      <c r="E458" t="s">
        <v>248</v>
      </c>
      <c r="F458">
        <v>1</v>
      </c>
      <c r="H458" t="s">
        <v>2177</v>
      </c>
      <c r="R458" t="s">
        <v>2178</v>
      </c>
      <c r="S458">
        <v>2</v>
      </c>
      <c r="T458" t="s">
        <v>628</v>
      </c>
      <c r="U458" t="s">
        <v>547</v>
      </c>
      <c r="V458">
        <v>5567.63</v>
      </c>
      <c r="W458">
        <v>6186.25</v>
      </c>
      <c r="Z458" t="s">
        <v>629</v>
      </c>
      <c r="AA458" t="s">
        <v>549</v>
      </c>
      <c r="AB458" t="s">
        <v>748</v>
      </c>
      <c r="AC458" t="s">
        <v>550</v>
      </c>
      <c r="AD458" t="s">
        <v>551</v>
      </c>
      <c r="BR458" t="s">
        <v>549</v>
      </c>
    </row>
    <row r="459" spans="1:70">
      <c r="A459" t="s">
        <v>2175</v>
      </c>
      <c r="B459" t="s">
        <v>246</v>
      </c>
      <c r="C459" t="s">
        <v>1999</v>
      </c>
      <c r="D459" t="s">
        <v>2176</v>
      </c>
      <c r="E459" t="s">
        <v>248</v>
      </c>
      <c r="F459">
        <v>1</v>
      </c>
      <c r="H459" t="s">
        <v>2177</v>
      </c>
      <c r="R459" t="s">
        <v>2178</v>
      </c>
      <c r="S459">
        <v>1</v>
      </c>
      <c r="T459" t="s">
        <v>976</v>
      </c>
      <c r="U459" t="s">
        <v>547</v>
      </c>
      <c r="V459">
        <v>1018.2</v>
      </c>
      <c r="W459">
        <v>1131.33</v>
      </c>
      <c r="Z459" t="s">
        <v>977</v>
      </c>
      <c r="AA459" t="s">
        <v>549</v>
      </c>
      <c r="AB459" t="s">
        <v>748</v>
      </c>
      <c r="AC459" t="s">
        <v>550</v>
      </c>
      <c r="AD459" t="s">
        <v>551</v>
      </c>
      <c r="BR459" t="s">
        <v>549</v>
      </c>
    </row>
    <row r="460" spans="1:70">
      <c r="A460" t="s">
        <v>2175</v>
      </c>
      <c r="B460" t="s">
        <v>246</v>
      </c>
      <c r="C460" t="s">
        <v>1999</v>
      </c>
      <c r="D460" t="s">
        <v>2176</v>
      </c>
      <c r="E460" t="s">
        <v>248</v>
      </c>
      <c r="F460">
        <v>1</v>
      </c>
      <c r="H460" t="s">
        <v>2177</v>
      </c>
      <c r="R460" t="s">
        <v>2178</v>
      </c>
      <c r="S460">
        <v>1</v>
      </c>
      <c r="T460" t="s">
        <v>595</v>
      </c>
      <c r="U460" t="s">
        <v>547</v>
      </c>
      <c r="V460">
        <v>6476.63</v>
      </c>
      <c r="W460">
        <v>7196.25</v>
      </c>
      <c r="Z460" t="s">
        <v>596</v>
      </c>
      <c r="AA460" t="s">
        <v>549</v>
      </c>
      <c r="AB460" t="s">
        <v>748</v>
      </c>
      <c r="AC460" t="s">
        <v>550</v>
      </c>
      <c r="AD460" t="s">
        <v>551</v>
      </c>
      <c r="BR460" t="s">
        <v>549</v>
      </c>
    </row>
    <row r="461" spans="1:70">
      <c r="A461" t="s">
        <v>2175</v>
      </c>
      <c r="B461" t="s">
        <v>246</v>
      </c>
      <c r="C461" t="s">
        <v>1999</v>
      </c>
      <c r="D461" t="s">
        <v>2176</v>
      </c>
      <c r="E461" t="s">
        <v>248</v>
      </c>
      <c r="F461">
        <v>1</v>
      </c>
      <c r="H461" t="s">
        <v>2177</v>
      </c>
      <c r="R461" t="s">
        <v>2178</v>
      </c>
      <c r="S461">
        <v>1</v>
      </c>
      <c r="T461" t="s">
        <v>678</v>
      </c>
      <c r="U461" t="s">
        <v>547</v>
      </c>
      <c r="V461">
        <v>5624.44</v>
      </c>
      <c r="W461">
        <v>6249.38</v>
      </c>
      <c r="Z461" t="s">
        <v>679</v>
      </c>
      <c r="AA461" t="s">
        <v>549</v>
      </c>
      <c r="AB461" t="s">
        <v>748</v>
      </c>
      <c r="AC461" t="s">
        <v>550</v>
      </c>
      <c r="AD461" t="s">
        <v>551</v>
      </c>
      <c r="BR461" t="s">
        <v>549</v>
      </c>
    </row>
    <row r="462" spans="1:70">
      <c r="A462" t="s">
        <v>2175</v>
      </c>
      <c r="B462" t="s">
        <v>246</v>
      </c>
      <c r="C462" t="s">
        <v>1999</v>
      </c>
      <c r="D462" t="s">
        <v>2176</v>
      </c>
      <c r="E462" t="s">
        <v>248</v>
      </c>
      <c r="F462">
        <v>1</v>
      </c>
      <c r="H462" t="s">
        <v>2177</v>
      </c>
      <c r="R462" t="s">
        <v>2178</v>
      </c>
      <c r="S462">
        <v>1</v>
      </c>
      <c r="T462" t="s">
        <v>584</v>
      </c>
      <c r="U462" t="s">
        <v>547</v>
      </c>
      <c r="V462">
        <v>1767.44</v>
      </c>
      <c r="W462">
        <v>1963.82</v>
      </c>
      <c r="Z462" t="s">
        <v>585</v>
      </c>
      <c r="AA462" t="s">
        <v>549</v>
      </c>
      <c r="AB462" t="s">
        <v>748</v>
      </c>
      <c r="AC462" t="s">
        <v>550</v>
      </c>
      <c r="AD462" t="s">
        <v>551</v>
      </c>
      <c r="BR462" t="s">
        <v>549</v>
      </c>
    </row>
    <row r="463" spans="1:70">
      <c r="A463" t="s">
        <v>2175</v>
      </c>
      <c r="B463" t="s">
        <v>246</v>
      </c>
      <c r="C463" t="s">
        <v>1999</v>
      </c>
      <c r="D463" t="s">
        <v>2176</v>
      </c>
      <c r="E463" t="s">
        <v>248</v>
      </c>
      <c r="F463">
        <v>1</v>
      </c>
      <c r="H463" t="s">
        <v>2177</v>
      </c>
      <c r="R463" t="s">
        <v>2178</v>
      </c>
      <c r="S463">
        <v>1</v>
      </c>
      <c r="T463" t="s">
        <v>588</v>
      </c>
      <c r="U463" t="s">
        <v>547</v>
      </c>
      <c r="V463">
        <v>3579.19</v>
      </c>
      <c r="W463">
        <v>3976.88</v>
      </c>
      <c r="Z463" t="s">
        <v>589</v>
      </c>
      <c r="AA463" t="s">
        <v>549</v>
      </c>
      <c r="AB463" t="s">
        <v>748</v>
      </c>
      <c r="AC463" t="s">
        <v>550</v>
      </c>
      <c r="AD463" t="s">
        <v>551</v>
      </c>
      <c r="BR463" t="s">
        <v>549</v>
      </c>
    </row>
    <row r="464" spans="1:70">
      <c r="A464" t="s">
        <v>2184</v>
      </c>
      <c r="B464" t="s">
        <v>332</v>
      </c>
      <c r="C464" t="s">
        <v>2185</v>
      </c>
      <c r="D464" t="s">
        <v>2186</v>
      </c>
      <c r="E464" t="s">
        <v>334</v>
      </c>
      <c r="F464">
        <v>1</v>
      </c>
      <c r="G464" t="s">
        <v>539</v>
      </c>
      <c r="H464" t="s">
        <v>2187</v>
      </c>
      <c r="I464" t="s">
        <v>748</v>
      </c>
      <c r="J464" t="s">
        <v>542</v>
      </c>
      <c r="K464">
        <v>2525</v>
      </c>
      <c r="L464">
        <v>400</v>
      </c>
      <c r="M464" t="s">
        <v>570</v>
      </c>
      <c r="N464" t="s">
        <v>544</v>
      </c>
      <c r="O464">
        <v>91.67</v>
      </c>
      <c r="P464">
        <v>2925</v>
      </c>
      <c r="R464" t="s">
        <v>2188</v>
      </c>
      <c r="S464">
        <v>1</v>
      </c>
      <c r="T464" t="s">
        <v>1033</v>
      </c>
      <c r="U464" t="s">
        <v>547</v>
      </c>
      <c r="V464">
        <v>2525</v>
      </c>
      <c r="W464">
        <v>2525</v>
      </c>
      <c r="Z464" t="s">
        <v>1034</v>
      </c>
      <c r="AA464" t="s">
        <v>549</v>
      </c>
      <c r="AB464" t="s">
        <v>748</v>
      </c>
      <c r="AC464" t="s">
        <v>550</v>
      </c>
      <c r="AD464" t="s">
        <v>551</v>
      </c>
      <c r="AE464" t="s">
        <v>332</v>
      </c>
      <c r="AF464" t="s">
        <v>1789</v>
      </c>
      <c r="AG464" t="s">
        <v>1869</v>
      </c>
      <c r="AH464" t="s">
        <v>1790</v>
      </c>
      <c r="AI464" t="s">
        <v>1754</v>
      </c>
      <c r="AJ464" t="s">
        <v>1791</v>
      </c>
      <c r="AK464" t="s">
        <v>556</v>
      </c>
      <c r="AM464" t="s">
        <v>1792</v>
      </c>
      <c r="AN464" t="s">
        <v>558</v>
      </c>
      <c r="AO464" t="s">
        <v>333</v>
      </c>
      <c r="AP464" t="s">
        <v>1793</v>
      </c>
      <c r="AQ464" t="s">
        <v>1792</v>
      </c>
      <c r="AR464" t="s">
        <v>1794</v>
      </c>
      <c r="AS464" t="s">
        <v>332</v>
      </c>
      <c r="AT464" t="s">
        <v>1789</v>
      </c>
      <c r="AU464" t="s">
        <v>1869</v>
      </c>
      <c r="AV464" t="s">
        <v>1790</v>
      </c>
      <c r="AW464" t="s">
        <v>1754</v>
      </c>
      <c r="AX464" t="s">
        <v>1791</v>
      </c>
      <c r="AY464" t="s">
        <v>556</v>
      </c>
      <c r="BA464" t="s">
        <v>1792</v>
      </c>
      <c r="BB464" t="s">
        <v>558</v>
      </c>
      <c r="BC464" t="s">
        <v>333</v>
      </c>
      <c r="BD464" t="s">
        <v>1794</v>
      </c>
      <c r="BH464" t="s">
        <v>560</v>
      </c>
      <c r="BI464" t="s">
        <v>561</v>
      </c>
      <c r="BK464" t="s">
        <v>607</v>
      </c>
      <c r="BL464" t="s">
        <v>562</v>
      </c>
      <c r="BM464" t="s">
        <v>2189</v>
      </c>
      <c r="BN464">
        <v>1</v>
      </c>
      <c r="BO464">
        <v>25</v>
      </c>
      <c r="BP464">
        <v>20</v>
      </c>
      <c r="BQ464">
        <v>66.67</v>
      </c>
      <c r="BR464" t="s">
        <v>549</v>
      </c>
    </row>
    <row r="465" spans="1:70">
      <c r="A465" t="s">
        <v>2190</v>
      </c>
      <c r="B465" t="s">
        <v>341</v>
      </c>
      <c r="C465" t="s">
        <v>2191</v>
      </c>
      <c r="D465" t="s">
        <v>904</v>
      </c>
      <c r="E465" t="s">
        <v>343</v>
      </c>
      <c r="F465">
        <v>2</v>
      </c>
      <c r="G465" t="s">
        <v>539</v>
      </c>
      <c r="H465" t="s">
        <v>2192</v>
      </c>
      <c r="I465" t="s">
        <v>748</v>
      </c>
      <c r="J465" t="s">
        <v>542</v>
      </c>
      <c r="K465">
        <v>7919.31</v>
      </c>
      <c r="L465">
        <v>400</v>
      </c>
      <c r="M465" t="s">
        <v>570</v>
      </c>
      <c r="N465" t="s">
        <v>544</v>
      </c>
      <c r="O465">
        <v>145.08000000000001</v>
      </c>
      <c r="P465">
        <v>8319.31</v>
      </c>
      <c r="R465" t="s">
        <v>2193</v>
      </c>
      <c r="S465">
        <v>7</v>
      </c>
      <c r="T465" t="s">
        <v>976</v>
      </c>
      <c r="U465" t="s">
        <v>547</v>
      </c>
      <c r="V465">
        <v>1131.33</v>
      </c>
      <c r="W465">
        <v>1131.33</v>
      </c>
      <c r="Z465" t="s">
        <v>977</v>
      </c>
      <c r="AA465" t="s">
        <v>549</v>
      </c>
      <c r="AB465" t="s">
        <v>748</v>
      </c>
      <c r="AC465" t="s">
        <v>550</v>
      </c>
      <c r="AD465" t="s">
        <v>551</v>
      </c>
      <c r="AE465" t="s">
        <v>341</v>
      </c>
      <c r="AF465" t="s">
        <v>2194</v>
      </c>
      <c r="AG465" t="s">
        <v>2195</v>
      </c>
      <c r="AI465" t="s">
        <v>966</v>
      </c>
      <c r="AJ465" t="s">
        <v>967</v>
      </c>
      <c r="AK465" t="s">
        <v>556</v>
      </c>
      <c r="AM465" t="s">
        <v>968</v>
      </c>
      <c r="AN465" t="s">
        <v>558</v>
      </c>
      <c r="AO465" t="s">
        <v>2196</v>
      </c>
      <c r="AP465" t="s">
        <v>549</v>
      </c>
      <c r="AQ465" t="s">
        <v>549</v>
      </c>
      <c r="AR465" t="s">
        <v>969</v>
      </c>
      <c r="AS465" t="s">
        <v>341</v>
      </c>
      <c r="AT465" t="s">
        <v>2194</v>
      </c>
      <c r="AU465" t="s">
        <v>2195</v>
      </c>
      <c r="AW465" t="s">
        <v>966</v>
      </c>
      <c r="AX465" t="s">
        <v>967</v>
      </c>
      <c r="AY465" t="s">
        <v>556</v>
      </c>
      <c r="BA465" t="s">
        <v>968</v>
      </c>
      <c r="BB465" t="s">
        <v>558</v>
      </c>
      <c r="BC465" t="s">
        <v>2196</v>
      </c>
      <c r="BD465" t="s">
        <v>969</v>
      </c>
      <c r="BH465" t="s">
        <v>560</v>
      </c>
      <c r="BI465" t="s">
        <v>561</v>
      </c>
      <c r="BK465" t="s">
        <v>607</v>
      </c>
      <c r="BL465" t="s">
        <v>562</v>
      </c>
      <c r="BM465" t="s">
        <v>2197</v>
      </c>
      <c r="BN465">
        <v>1</v>
      </c>
      <c r="BO465">
        <v>78.41</v>
      </c>
      <c r="BP465">
        <v>20</v>
      </c>
      <c r="BQ465">
        <v>66.67</v>
      </c>
      <c r="BR465" t="s">
        <v>549</v>
      </c>
    </row>
    <row r="466" spans="1:70">
      <c r="A466" t="s">
        <v>2198</v>
      </c>
      <c r="B466" t="s">
        <v>51</v>
      </c>
      <c r="C466" t="s">
        <v>781</v>
      </c>
      <c r="D466" t="s">
        <v>782</v>
      </c>
      <c r="E466" t="s">
        <v>172</v>
      </c>
      <c r="F466">
        <v>1</v>
      </c>
      <c r="G466" t="s">
        <v>539</v>
      </c>
      <c r="H466" t="s">
        <v>2199</v>
      </c>
      <c r="I466" t="s">
        <v>748</v>
      </c>
      <c r="J466" t="s">
        <v>542</v>
      </c>
      <c r="K466">
        <v>11930.64</v>
      </c>
      <c r="L466">
        <v>200</v>
      </c>
      <c r="M466" t="s">
        <v>543</v>
      </c>
      <c r="N466" t="s">
        <v>544</v>
      </c>
      <c r="O466">
        <v>145.55000000000001</v>
      </c>
      <c r="P466">
        <v>11534.12</v>
      </c>
      <c r="Q466">
        <v>596.52</v>
      </c>
      <c r="R466" t="s">
        <v>2200</v>
      </c>
      <c r="S466">
        <v>3</v>
      </c>
      <c r="T466" t="s">
        <v>588</v>
      </c>
      <c r="U466" t="s">
        <v>547</v>
      </c>
      <c r="V466">
        <v>3778.04</v>
      </c>
      <c r="W466">
        <v>3976.88</v>
      </c>
      <c r="Z466" t="s">
        <v>589</v>
      </c>
      <c r="AA466" t="s">
        <v>549</v>
      </c>
      <c r="AB466" t="s">
        <v>748</v>
      </c>
      <c r="AC466" t="s">
        <v>550</v>
      </c>
      <c r="AD466" t="s">
        <v>551</v>
      </c>
      <c r="AE466" t="s">
        <v>51</v>
      </c>
      <c r="AF466" t="s">
        <v>785</v>
      </c>
      <c r="AG466" t="s">
        <v>786</v>
      </c>
      <c r="AH466" t="s">
        <v>787</v>
      </c>
      <c r="AI466" t="s">
        <v>601</v>
      </c>
      <c r="AJ466" t="s">
        <v>788</v>
      </c>
      <c r="AK466" t="s">
        <v>556</v>
      </c>
      <c r="AM466" t="s">
        <v>603</v>
      </c>
      <c r="AN466" t="s">
        <v>558</v>
      </c>
      <c r="AO466" t="s">
        <v>52</v>
      </c>
      <c r="AP466" t="s">
        <v>789</v>
      </c>
      <c r="AQ466" t="s">
        <v>790</v>
      </c>
      <c r="AR466" t="s">
        <v>791</v>
      </c>
      <c r="AS466" t="s">
        <v>51</v>
      </c>
      <c r="AT466" t="s">
        <v>785</v>
      </c>
      <c r="AU466" t="s">
        <v>786</v>
      </c>
      <c r="AV466" t="s">
        <v>787</v>
      </c>
      <c r="AW466" t="s">
        <v>601</v>
      </c>
      <c r="AX466" t="s">
        <v>788</v>
      </c>
      <c r="AY466" t="s">
        <v>556</v>
      </c>
      <c r="BA466" t="s">
        <v>603</v>
      </c>
      <c r="BB466" t="s">
        <v>558</v>
      </c>
      <c r="BC466" t="s">
        <v>52</v>
      </c>
      <c r="BD466" t="s">
        <v>791</v>
      </c>
      <c r="BH466" t="s">
        <v>560</v>
      </c>
      <c r="BI466" t="s">
        <v>561</v>
      </c>
      <c r="BK466" t="s">
        <v>607</v>
      </c>
      <c r="BL466" t="s">
        <v>562</v>
      </c>
      <c r="BM466" t="s">
        <v>2201</v>
      </c>
      <c r="BN466">
        <v>1</v>
      </c>
      <c r="BO466">
        <v>112.22</v>
      </c>
      <c r="BP466">
        <v>20</v>
      </c>
      <c r="BQ466">
        <v>33.33</v>
      </c>
      <c r="BR466" t="s">
        <v>549</v>
      </c>
    </row>
    <row r="467" spans="1:70">
      <c r="A467" t="s">
        <v>2202</v>
      </c>
      <c r="B467" t="s">
        <v>166</v>
      </c>
      <c r="C467" t="s">
        <v>1116</v>
      </c>
      <c r="D467" t="s">
        <v>2203</v>
      </c>
      <c r="E467" t="s">
        <v>177</v>
      </c>
      <c r="F467">
        <v>1</v>
      </c>
      <c r="G467" t="s">
        <v>539</v>
      </c>
      <c r="H467" t="s">
        <v>2204</v>
      </c>
      <c r="I467" t="s">
        <v>748</v>
      </c>
      <c r="J467" t="s">
        <v>542</v>
      </c>
      <c r="K467">
        <v>3165.71</v>
      </c>
      <c r="L467">
        <v>400</v>
      </c>
      <c r="M467" t="s">
        <v>570</v>
      </c>
      <c r="N467" t="s">
        <v>544</v>
      </c>
      <c r="O467">
        <v>98.01</v>
      </c>
      <c r="P467">
        <v>3565.71</v>
      </c>
      <c r="R467" t="s">
        <v>2205</v>
      </c>
      <c r="S467">
        <v>1</v>
      </c>
      <c r="T467" t="s">
        <v>953</v>
      </c>
      <c r="U467" t="s">
        <v>547</v>
      </c>
      <c r="V467">
        <v>1877.96</v>
      </c>
      <c r="W467">
        <v>2209.38</v>
      </c>
      <c r="X467">
        <v>1877.96</v>
      </c>
      <c r="Z467" t="s">
        <v>954</v>
      </c>
      <c r="AA467" t="s">
        <v>549</v>
      </c>
      <c r="AB467" t="s">
        <v>748</v>
      </c>
      <c r="AC467" t="s">
        <v>550</v>
      </c>
      <c r="AD467" t="s">
        <v>551</v>
      </c>
      <c r="AE467" t="s">
        <v>166</v>
      </c>
      <c r="AF467" t="s">
        <v>2206</v>
      </c>
      <c r="AG467" t="s">
        <v>2207</v>
      </c>
      <c r="AI467" t="s">
        <v>577</v>
      </c>
      <c r="AJ467" t="s">
        <v>578</v>
      </c>
      <c r="AK467" t="s">
        <v>556</v>
      </c>
      <c r="AM467" t="s">
        <v>579</v>
      </c>
      <c r="AN467" t="s">
        <v>558</v>
      </c>
      <c r="AO467" t="s">
        <v>167</v>
      </c>
      <c r="AP467" t="s">
        <v>549</v>
      </c>
      <c r="AQ467" t="s">
        <v>549</v>
      </c>
      <c r="AR467" t="s">
        <v>2208</v>
      </c>
      <c r="AS467" t="s">
        <v>166</v>
      </c>
      <c r="AT467" t="s">
        <v>2206</v>
      </c>
      <c r="AU467" t="s">
        <v>2207</v>
      </c>
      <c r="AW467" t="s">
        <v>577</v>
      </c>
      <c r="AX467" t="s">
        <v>578</v>
      </c>
      <c r="AY467" t="s">
        <v>556</v>
      </c>
      <c r="BA467" t="s">
        <v>579</v>
      </c>
      <c r="BB467" t="s">
        <v>558</v>
      </c>
      <c r="BC467" t="s">
        <v>167</v>
      </c>
      <c r="BD467" t="s">
        <v>2208</v>
      </c>
      <c r="BH467" t="s">
        <v>560</v>
      </c>
      <c r="BI467" t="s">
        <v>561</v>
      </c>
      <c r="BK467" t="s">
        <v>607</v>
      </c>
      <c r="BL467" t="s">
        <v>562</v>
      </c>
      <c r="BM467" t="s">
        <v>2209</v>
      </c>
      <c r="BN467">
        <v>1</v>
      </c>
      <c r="BO467">
        <v>31.34</v>
      </c>
      <c r="BP467">
        <v>20</v>
      </c>
      <c r="BQ467">
        <v>66.67</v>
      </c>
      <c r="BR467" t="s">
        <v>549</v>
      </c>
    </row>
    <row r="468" spans="1:70">
      <c r="A468" t="s">
        <v>2202</v>
      </c>
      <c r="B468" t="s">
        <v>166</v>
      </c>
      <c r="C468" t="s">
        <v>1116</v>
      </c>
      <c r="D468" t="s">
        <v>2203</v>
      </c>
      <c r="E468" t="s">
        <v>177</v>
      </c>
      <c r="F468">
        <v>1</v>
      </c>
      <c r="H468" t="s">
        <v>2204</v>
      </c>
      <c r="R468" t="s">
        <v>2205</v>
      </c>
      <c r="S468">
        <v>1</v>
      </c>
      <c r="T468" t="s">
        <v>921</v>
      </c>
      <c r="U468" t="s">
        <v>547</v>
      </c>
      <c r="V468">
        <v>1287.75</v>
      </c>
      <c r="W468">
        <v>1287.75</v>
      </c>
      <c r="Z468" t="s">
        <v>922</v>
      </c>
      <c r="AA468" t="s">
        <v>549</v>
      </c>
      <c r="AB468" t="s">
        <v>748</v>
      </c>
      <c r="AC468" t="s">
        <v>550</v>
      </c>
      <c r="AD468" t="s">
        <v>551</v>
      </c>
      <c r="BR468" t="s">
        <v>549</v>
      </c>
    </row>
    <row r="469" spans="1:70">
      <c r="A469" t="s">
        <v>2210</v>
      </c>
      <c r="B469" t="s">
        <v>341</v>
      </c>
      <c r="C469" t="s">
        <v>2191</v>
      </c>
      <c r="D469" t="s">
        <v>904</v>
      </c>
      <c r="E469" t="s">
        <v>343</v>
      </c>
      <c r="F469">
        <v>1</v>
      </c>
      <c r="G469" t="s">
        <v>539</v>
      </c>
      <c r="H469" t="s">
        <v>2211</v>
      </c>
      <c r="I469" t="s">
        <v>748</v>
      </c>
      <c r="J469" t="s">
        <v>542</v>
      </c>
      <c r="K469">
        <v>7344.72</v>
      </c>
      <c r="L469">
        <v>400</v>
      </c>
      <c r="M469" t="s">
        <v>570</v>
      </c>
      <c r="N469" t="s">
        <v>544</v>
      </c>
      <c r="O469">
        <v>139.38999999999999</v>
      </c>
      <c r="P469">
        <v>7744.72</v>
      </c>
      <c r="R469" t="s">
        <v>2212</v>
      </c>
      <c r="S469">
        <v>6</v>
      </c>
      <c r="T469" t="s">
        <v>946</v>
      </c>
      <c r="U469" t="s">
        <v>547</v>
      </c>
      <c r="V469">
        <v>567.62</v>
      </c>
      <c r="W469">
        <v>567.62</v>
      </c>
      <c r="Z469" t="s">
        <v>947</v>
      </c>
      <c r="AA469" t="s">
        <v>549</v>
      </c>
      <c r="AB469" t="s">
        <v>748</v>
      </c>
      <c r="AC469" t="s">
        <v>550</v>
      </c>
      <c r="AD469" t="s">
        <v>551</v>
      </c>
      <c r="AE469" t="s">
        <v>341</v>
      </c>
      <c r="AF469" t="s">
        <v>2194</v>
      </c>
      <c r="AG469" t="s">
        <v>2195</v>
      </c>
      <c r="AI469" t="s">
        <v>966</v>
      </c>
      <c r="AJ469" t="s">
        <v>967</v>
      </c>
      <c r="AK469" t="s">
        <v>556</v>
      </c>
      <c r="AM469" t="s">
        <v>968</v>
      </c>
      <c r="AN469" t="s">
        <v>558</v>
      </c>
      <c r="AO469" t="s">
        <v>342</v>
      </c>
      <c r="AP469" t="s">
        <v>549</v>
      </c>
      <c r="AQ469" t="s">
        <v>549</v>
      </c>
      <c r="AR469" t="s">
        <v>969</v>
      </c>
      <c r="AS469" t="s">
        <v>341</v>
      </c>
      <c r="AT469" t="s">
        <v>2194</v>
      </c>
      <c r="AU469" t="s">
        <v>2195</v>
      </c>
      <c r="AW469" t="s">
        <v>966</v>
      </c>
      <c r="AX469" t="s">
        <v>967</v>
      </c>
      <c r="AY469" t="s">
        <v>556</v>
      </c>
      <c r="BA469" t="s">
        <v>968</v>
      </c>
      <c r="BB469" t="s">
        <v>558</v>
      </c>
      <c r="BC469" t="s">
        <v>342</v>
      </c>
      <c r="BD469" t="s">
        <v>969</v>
      </c>
      <c r="BH469" t="s">
        <v>560</v>
      </c>
      <c r="BI469" t="s">
        <v>561</v>
      </c>
      <c r="BK469" t="s">
        <v>607</v>
      </c>
      <c r="BL469" t="s">
        <v>562</v>
      </c>
      <c r="BM469" t="s">
        <v>2213</v>
      </c>
      <c r="BN469">
        <v>1</v>
      </c>
      <c r="BO469">
        <v>72.72</v>
      </c>
      <c r="BP469">
        <v>20</v>
      </c>
      <c r="BQ469">
        <v>66.67</v>
      </c>
      <c r="BR469" t="s">
        <v>549</v>
      </c>
    </row>
    <row r="470" spans="1:70">
      <c r="A470" t="s">
        <v>2210</v>
      </c>
      <c r="B470" t="s">
        <v>341</v>
      </c>
      <c r="C470" t="s">
        <v>2191</v>
      </c>
      <c r="D470" t="s">
        <v>904</v>
      </c>
      <c r="E470" t="s">
        <v>343</v>
      </c>
      <c r="F470">
        <v>1</v>
      </c>
      <c r="H470" t="s">
        <v>2211</v>
      </c>
      <c r="R470" t="s">
        <v>2212</v>
      </c>
      <c r="S470">
        <v>6</v>
      </c>
      <c r="T470" t="s">
        <v>818</v>
      </c>
      <c r="U470" t="s">
        <v>547</v>
      </c>
      <c r="V470">
        <v>656.5</v>
      </c>
      <c r="W470">
        <v>656.5</v>
      </c>
      <c r="Z470" t="s">
        <v>819</v>
      </c>
      <c r="AA470" t="s">
        <v>549</v>
      </c>
      <c r="AB470" t="s">
        <v>748</v>
      </c>
      <c r="AC470" t="s">
        <v>550</v>
      </c>
      <c r="AD470" t="s">
        <v>551</v>
      </c>
      <c r="BR470" t="s">
        <v>549</v>
      </c>
    </row>
    <row r="471" spans="1:70">
      <c r="A471" t="s">
        <v>2214</v>
      </c>
      <c r="B471" t="s">
        <v>48</v>
      </c>
      <c r="C471" t="s">
        <v>745</v>
      </c>
      <c r="D471" t="s">
        <v>746</v>
      </c>
      <c r="E471" t="s">
        <v>116</v>
      </c>
      <c r="F471">
        <v>1</v>
      </c>
      <c r="G471" t="s">
        <v>539</v>
      </c>
      <c r="H471" t="s">
        <v>2215</v>
      </c>
      <c r="I471" t="s">
        <v>748</v>
      </c>
      <c r="J471" t="s">
        <v>542</v>
      </c>
      <c r="K471">
        <v>24404.75</v>
      </c>
      <c r="L471">
        <v>0</v>
      </c>
      <c r="M471" t="s">
        <v>1708</v>
      </c>
      <c r="N471" t="s">
        <v>544</v>
      </c>
      <c r="O471">
        <v>232.99</v>
      </c>
      <c r="P471">
        <v>23532.21</v>
      </c>
      <c r="Q471">
        <v>872.54</v>
      </c>
      <c r="R471" t="s">
        <v>2216</v>
      </c>
      <c r="S471">
        <v>1</v>
      </c>
      <c r="T471" t="s">
        <v>1053</v>
      </c>
      <c r="U471" t="s">
        <v>547</v>
      </c>
      <c r="V471">
        <v>6116.81</v>
      </c>
      <c r="W471">
        <v>6438.75</v>
      </c>
      <c r="Z471" t="s">
        <v>1054</v>
      </c>
      <c r="AA471" t="s">
        <v>549</v>
      </c>
      <c r="AB471" t="s">
        <v>748</v>
      </c>
      <c r="AC471" t="s">
        <v>550</v>
      </c>
      <c r="AD471" t="s">
        <v>551</v>
      </c>
      <c r="AE471" t="s">
        <v>750</v>
      </c>
      <c r="AF471" t="s">
        <v>751</v>
      </c>
      <c r="AG471" t="s">
        <v>752</v>
      </c>
      <c r="AI471" t="s">
        <v>601</v>
      </c>
      <c r="AJ471" t="s">
        <v>753</v>
      </c>
      <c r="AK471" t="s">
        <v>556</v>
      </c>
      <c r="AM471" t="s">
        <v>754</v>
      </c>
      <c r="AN471" t="s">
        <v>558</v>
      </c>
      <c r="AO471" t="s">
        <v>49</v>
      </c>
      <c r="AP471" t="s">
        <v>549</v>
      </c>
      <c r="AQ471" t="s">
        <v>549</v>
      </c>
      <c r="AR471" t="s">
        <v>755</v>
      </c>
      <c r="AS471" t="s">
        <v>750</v>
      </c>
      <c r="AT471" t="s">
        <v>751</v>
      </c>
      <c r="AU471" t="s">
        <v>752</v>
      </c>
      <c r="AW471" t="s">
        <v>601</v>
      </c>
      <c r="AX471" t="s">
        <v>753</v>
      </c>
      <c r="AY471" t="s">
        <v>556</v>
      </c>
      <c r="BA471" t="s">
        <v>754</v>
      </c>
      <c r="BB471" t="s">
        <v>558</v>
      </c>
      <c r="BC471" t="s">
        <v>49</v>
      </c>
      <c r="BD471" t="s">
        <v>755</v>
      </c>
      <c r="BH471" t="s">
        <v>560</v>
      </c>
      <c r="BI471" t="s">
        <v>561</v>
      </c>
      <c r="BK471" t="s">
        <v>607</v>
      </c>
      <c r="BL471" t="s">
        <v>562</v>
      </c>
      <c r="BM471" t="s">
        <v>2217</v>
      </c>
      <c r="BN471">
        <v>1</v>
      </c>
      <c r="BO471">
        <v>232.99</v>
      </c>
      <c r="BR471" t="s">
        <v>549</v>
      </c>
    </row>
    <row r="472" spans="1:70">
      <c r="A472" t="s">
        <v>2214</v>
      </c>
      <c r="B472" t="s">
        <v>48</v>
      </c>
      <c r="C472" t="s">
        <v>745</v>
      </c>
      <c r="D472" t="s">
        <v>746</v>
      </c>
      <c r="E472" t="s">
        <v>116</v>
      </c>
      <c r="F472">
        <v>1</v>
      </c>
      <c r="H472" t="s">
        <v>2215</v>
      </c>
      <c r="R472" t="s">
        <v>2216</v>
      </c>
      <c r="S472">
        <v>2</v>
      </c>
      <c r="T472" t="s">
        <v>586</v>
      </c>
      <c r="U472" t="s">
        <v>547</v>
      </c>
      <c r="V472">
        <v>3476.92</v>
      </c>
      <c r="W472">
        <v>4090.5</v>
      </c>
      <c r="X472">
        <v>3476.92</v>
      </c>
      <c r="Z472" t="s">
        <v>587</v>
      </c>
      <c r="AA472" t="s">
        <v>549</v>
      </c>
      <c r="AB472" t="s">
        <v>748</v>
      </c>
      <c r="AC472" t="s">
        <v>550</v>
      </c>
      <c r="AD472" t="s">
        <v>551</v>
      </c>
      <c r="BR472" t="s">
        <v>549</v>
      </c>
    </row>
    <row r="473" spans="1:70">
      <c r="A473" t="s">
        <v>2214</v>
      </c>
      <c r="B473" t="s">
        <v>48</v>
      </c>
      <c r="C473" t="s">
        <v>745</v>
      </c>
      <c r="D473" t="s">
        <v>746</v>
      </c>
      <c r="E473" t="s">
        <v>116</v>
      </c>
      <c r="F473">
        <v>1</v>
      </c>
      <c r="H473" t="s">
        <v>2215</v>
      </c>
      <c r="R473" t="s">
        <v>2216</v>
      </c>
      <c r="S473">
        <v>1</v>
      </c>
      <c r="T473" t="s">
        <v>588</v>
      </c>
      <c r="U473" t="s">
        <v>547</v>
      </c>
      <c r="V473">
        <v>3778.04</v>
      </c>
      <c r="W473">
        <v>3976.88</v>
      </c>
      <c r="Z473" t="s">
        <v>589</v>
      </c>
      <c r="AA473" t="s">
        <v>549</v>
      </c>
      <c r="AB473" t="s">
        <v>748</v>
      </c>
      <c r="AC473" t="s">
        <v>550</v>
      </c>
      <c r="AD473" t="s">
        <v>551</v>
      </c>
      <c r="BR473" t="s">
        <v>549</v>
      </c>
    </row>
    <row r="474" spans="1:70">
      <c r="A474" t="s">
        <v>2214</v>
      </c>
      <c r="B474" t="s">
        <v>48</v>
      </c>
      <c r="C474" t="s">
        <v>745</v>
      </c>
      <c r="D474" t="s">
        <v>746</v>
      </c>
      <c r="E474" t="s">
        <v>116</v>
      </c>
      <c r="F474">
        <v>1</v>
      </c>
      <c r="H474" t="s">
        <v>2215</v>
      </c>
      <c r="R474" t="s">
        <v>2216</v>
      </c>
      <c r="S474">
        <v>1</v>
      </c>
      <c r="T474" t="s">
        <v>659</v>
      </c>
      <c r="U474" t="s">
        <v>547</v>
      </c>
      <c r="V474">
        <v>1865.63</v>
      </c>
      <c r="W474">
        <v>1963.82</v>
      </c>
      <c r="Z474" t="s">
        <v>660</v>
      </c>
      <c r="AA474" t="s">
        <v>549</v>
      </c>
      <c r="AB474" t="s">
        <v>748</v>
      </c>
      <c r="AC474" t="s">
        <v>550</v>
      </c>
      <c r="AD474" t="s">
        <v>551</v>
      </c>
      <c r="BR474" t="s">
        <v>549</v>
      </c>
    </row>
    <row r="475" spans="1:70">
      <c r="A475" t="s">
        <v>2214</v>
      </c>
      <c r="B475" t="s">
        <v>48</v>
      </c>
      <c r="C475" t="s">
        <v>745</v>
      </c>
      <c r="D475" t="s">
        <v>746</v>
      </c>
      <c r="E475" t="s">
        <v>116</v>
      </c>
      <c r="F475">
        <v>1</v>
      </c>
      <c r="H475" t="s">
        <v>2215</v>
      </c>
      <c r="R475" t="s">
        <v>2216</v>
      </c>
      <c r="S475">
        <v>1</v>
      </c>
      <c r="T475" t="s">
        <v>740</v>
      </c>
      <c r="U475" t="s">
        <v>547</v>
      </c>
      <c r="V475">
        <v>4817.8900000000003</v>
      </c>
      <c r="W475">
        <v>5071.46</v>
      </c>
      <c r="Z475" t="s">
        <v>741</v>
      </c>
      <c r="AA475" t="s">
        <v>549</v>
      </c>
      <c r="AB475" t="s">
        <v>748</v>
      </c>
      <c r="AC475" t="s">
        <v>550</v>
      </c>
      <c r="AD475" t="s">
        <v>551</v>
      </c>
      <c r="BR475" t="s">
        <v>549</v>
      </c>
    </row>
    <row r="476" spans="1:70">
      <c r="A476" t="s">
        <v>2218</v>
      </c>
      <c r="B476" t="s">
        <v>216</v>
      </c>
      <c r="C476" t="s">
        <v>2219</v>
      </c>
      <c r="D476" t="s">
        <v>2220</v>
      </c>
      <c r="E476" t="s">
        <v>218</v>
      </c>
      <c r="F476">
        <v>1</v>
      </c>
      <c r="G476" t="s">
        <v>539</v>
      </c>
      <c r="H476" t="s">
        <v>2221</v>
      </c>
      <c r="I476" t="s">
        <v>748</v>
      </c>
      <c r="J476" t="s">
        <v>542</v>
      </c>
      <c r="K476">
        <v>3787.5</v>
      </c>
      <c r="L476">
        <v>400</v>
      </c>
      <c r="M476" t="s">
        <v>570</v>
      </c>
      <c r="N476" t="s">
        <v>544</v>
      </c>
      <c r="O476">
        <v>104.17</v>
      </c>
      <c r="P476">
        <v>4187.5</v>
      </c>
      <c r="R476" t="s">
        <v>2222</v>
      </c>
      <c r="S476">
        <v>1</v>
      </c>
      <c r="T476" t="s">
        <v>649</v>
      </c>
      <c r="U476" t="s">
        <v>547</v>
      </c>
      <c r="V476">
        <v>3787.5</v>
      </c>
      <c r="W476">
        <v>3787.5</v>
      </c>
      <c r="Z476" t="s">
        <v>650</v>
      </c>
      <c r="AA476" t="s">
        <v>549</v>
      </c>
      <c r="AB476" t="s">
        <v>748</v>
      </c>
      <c r="AC476" t="s">
        <v>550</v>
      </c>
      <c r="AD476" t="s">
        <v>551</v>
      </c>
      <c r="AE476" t="s">
        <v>216</v>
      </c>
      <c r="AF476" t="s">
        <v>2223</v>
      </c>
      <c r="AG476" t="s">
        <v>2224</v>
      </c>
      <c r="AI476" t="s">
        <v>554</v>
      </c>
      <c r="AJ476" t="s">
        <v>2225</v>
      </c>
      <c r="AK476" t="s">
        <v>556</v>
      </c>
      <c r="AM476" t="s">
        <v>557</v>
      </c>
      <c r="AN476" t="s">
        <v>558</v>
      </c>
      <c r="AO476" t="s">
        <v>217</v>
      </c>
      <c r="AP476" t="s">
        <v>549</v>
      </c>
      <c r="AQ476" t="s">
        <v>549</v>
      </c>
      <c r="AR476" t="s">
        <v>2226</v>
      </c>
      <c r="AS476" t="s">
        <v>216</v>
      </c>
      <c r="AT476" t="s">
        <v>2223</v>
      </c>
      <c r="AU476" t="s">
        <v>2224</v>
      </c>
      <c r="AW476" t="s">
        <v>554</v>
      </c>
      <c r="AX476" t="s">
        <v>2225</v>
      </c>
      <c r="AY476" t="s">
        <v>556</v>
      </c>
      <c r="BA476" t="s">
        <v>557</v>
      </c>
      <c r="BB476" t="s">
        <v>558</v>
      </c>
      <c r="BC476" t="s">
        <v>217</v>
      </c>
      <c r="BD476" t="s">
        <v>2226</v>
      </c>
      <c r="BH476" t="s">
        <v>560</v>
      </c>
      <c r="BI476" t="s">
        <v>561</v>
      </c>
      <c r="BK476" t="s">
        <v>607</v>
      </c>
      <c r="BL476" t="s">
        <v>562</v>
      </c>
      <c r="BM476" t="s">
        <v>2227</v>
      </c>
      <c r="BN476">
        <v>1</v>
      </c>
      <c r="BO476">
        <v>37.5</v>
      </c>
      <c r="BP476">
        <v>20</v>
      </c>
      <c r="BQ476">
        <v>66.67</v>
      </c>
      <c r="BR476" t="s">
        <v>549</v>
      </c>
    </row>
    <row r="477" spans="1:70">
      <c r="A477" t="s">
        <v>2228</v>
      </c>
      <c r="B477" t="s">
        <v>338</v>
      </c>
      <c r="C477" t="s">
        <v>1881</v>
      </c>
      <c r="D477" t="s">
        <v>1882</v>
      </c>
      <c r="E477" t="s">
        <v>340</v>
      </c>
      <c r="F477">
        <v>1</v>
      </c>
      <c r="G477" t="s">
        <v>539</v>
      </c>
      <c r="H477" t="s">
        <v>2229</v>
      </c>
      <c r="I477" t="s">
        <v>748</v>
      </c>
      <c r="J477" t="s">
        <v>542</v>
      </c>
      <c r="K477">
        <v>5923.64</v>
      </c>
      <c r="L477">
        <v>400</v>
      </c>
      <c r="M477" t="s">
        <v>570</v>
      </c>
      <c r="N477" t="s">
        <v>544</v>
      </c>
      <c r="O477">
        <v>125.32</v>
      </c>
      <c r="P477">
        <v>6323.64</v>
      </c>
      <c r="R477" t="s">
        <v>2230</v>
      </c>
      <c r="S477">
        <v>4</v>
      </c>
      <c r="T477" t="s">
        <v>1268</v>
      </c>
      <c r="U477" t="s">
        <v>547</v>
      </c>
      <c r="V477">
        <v>1480.91</v>
      </c>
      <c r="W477">
        <v>1742.25</v>
      </c>
      <c r="X477">
        <v>1480.91</v>
      </c>
      <c r="Z477" t="s">
        <v>1269</v>
      </c>
      <c r="AA477" t="s">
        <v>549</v>
      </c>
      <c r="AB477" t="s">
        <v>748</v>
      </c>
      <c r="AC477" t="s">
        <v>550</v>
      </c>
      <c r="AD477" t="s">
        <v>551</v>
      </c>
      <c r="AE477" t="s">
        <v>338</v>
      </c>
      <c r="AF477" t="s">
        <v>1886</v>
      </c>
      <c r="AG477" t="s">
        <v>1887</v>
      </c>
      <c r="AH477" t="s">
        <v>1888</v>
      </c>
      <c r="AI477" t="s">
        <v>577</v>
      </c>
      <c r="AJ477" t="s">
        <v>1889</v>
      </c>
      <c r="AK477" t="s">
        <v>556</v>
      </c>
      <c r="AM477" t="s">
        <v>1834</v>
      </c>
      <c r="AN477" t="s">
        <v>558</v>
      </c>
      <c r="AO477" t="s">
        <v>339</v>
      </c>
      <c r="AP477" t="s">
        <v>1890</v>
      </c>
      <c r="AQ477" t="s">
        <v>1891</v>
      </c>
      <c r="AR477" t="s">
        <v>1890</v>
      </c>
      <c r="AS477" t="s">
        <v>338</v>
      </c>
      <c r="AT477" t="s">
        <v>1886</v>
      </c>
      <c r="AU477" t="s">
        <v>1887</v>
      </c>
      <c r="AV477" t="s">
        <v>1888</v>
      </c>
      <c r="AW477" t="s">
        <v>577</v>
      </c>
      <c r="AX477" t="s">
        <v>1889</v>
      </c>
      <c r="AY477" t="s">
        <v>556</v>
      </c>
      <c r="BA477" t="s">
        <v>1834</v>
      </c>
      <c r="BB477" t="s">
        <v>558</v>
      </c>
      <c r="BC477" t="s">
        <v>339</v>
      </c>
      <c r="BD477" t="s">
        <v>1890</v>
      </c>
      <c r="BH477" t="s">
        <v>560</v>
      </c>
      <c r="BI477" t="s">
        <v>561</v>
      </c>
      <c r="BK477" t="s">
        <v>607</v>
      </c>
      <c r="BL477" t="s">
        <v>562</v>
      </c>
      <c r="BM477" t="s">
        <v>2231</v>
      </c>
      <c r="BN477">
        <v>1</v>
      </c>
      <c r="BO477">
        <v>58.65</v>
      </c>
      <c r="BP477">
        <v>20</v>
      </c>
      <c r="BQ477">
        <v>66.67</v>
      </c>
      <c r="BR477" t="s">
        <v>549</v>
      </c>
    </row>
    <row r="478" spans="1:70">
      <c r="A478" t="s">
        <v>2232</v>
      </c>
      <c r="B478" t="s">
        <v>32</v>
      </c>
      <c r="C478" t="s">
        <v>567</v>
      </c>
      <c r="D478" t="s">
        <v>568</v>
      </c>
      <c r="E478" t="s">
        <v>34</v>
      </c>
      <c r="F478">
        <v>1</v>
      </c>
      <c r="G478" t="s">
        <v>539</v>
      </c>
      <c r="H478" t="s">
        <v>2233</v>
      </c>
      <c r="I478" t="s">
        <v>748</v>
      </c>
      <c r="J478" t="s">
        <v>542</v>
      </c>
      <c r="K478">
        <v>39166.550000000003</v>
      </c>
      <c r="L478">
        <v>0</v>
      </c>
      <c r="M478" t="s">
        <v>1708</v>
      </c>
      <c r="N478" t="s">
        <v>544</v>
      </c>
      <c r="O478">
        <v>349.01</v>
      </c>
      <c r="P478">
        <v>35249.89</v>
      </c>
      <c r="Q478">
        <v>3916.66</v>
      </c>
      <c r="R478" t="s">
        <v>2234</v>
      </c>
      <c r="S478">
        <v>2</v>
      </c>
      <c r="T478" t="s">
        <v>818</v>
      </c>
      <c r="U478" t="s">
        <v>547</v>
      </c>
      <c r="V478">
        <v>590.85</v>
      </c>
      <c r="W478">
        <v>656.5</v>
      </c>
      <c r="Z478" t="s">
        <v>819</v>
      </c>
      <c r="AA478" t="s">
        <v>549</v>
      </c>
      <c r="AB478" t="s">
        <v>748</v>
      </c>
      <c r="AC478" t="s">
        <v>550</v>
      </c>
      <c r="AD478" t="s">
        <v>551</v>
      </c>
      <c r="AE478" t="s">
        <v>32</v>
      </c>
      <c r="AF478" t="s">
        <v>574</v>
      </c>
      <c r="AG478" t="s">
        <v>575</v>
      </c>
      <c r="AH478" t="s">
        <v>576</v>
      </c>
      <c r="AI478" t="s">
        <v>577</v>
      </c>
      <c r="AJ478" t="s">
        <v>578</v>
      </c>
      <c r="AK478" t="s">
        <v>556</v>
      </c>
      <c r="AM478" t="s">
        <v>579</v>
      </c>
      <c r="AN478" t="s">
        <v>558</v>
      </c>
      <c r="AO478" t="s">
        <v>33</v>
      </c>
      <c r="AP478" t="s">
        <v>580</v>
      </c>
      <c r="AQ478" t="s">
        <v>581</v>
      </c>
      <c r="AR478" t="s">
        <v>582</v>
      </c>
      <c r="AS478" t="s">
        <v>32</v>
      </c>
      <c r="AT478" t="s">
        <v>574</v>
      </c>
      <c r="AU478" t="s">
        <v>575</v>
      </c>
      <c r="AV478" t="s">
        <v>576</v>
      </c>
      <c r="AW478" t="s">
        <v>577</v>
      </c>
      <c r="AX478" t="s">
        <v>578</v>
      </c>
      <c r="AY478" t="s">
        <v>556</v>
      </c>
      <c r="BA478" t="s">
        <v>579</v>
      </c>
      <c r="BB478" t="s">
        <v>558</v>
      </c>
      <c r="BC478" t="s">
        <v>33</v>
      </c>
      <c r="BD478" t="s">
        <v>582</v>
      </c>
      <c r="BH478" t="s">
        <v>560</v>
      </c>
      <c r="BI478" t="s">
        <v>561</v>
      </c>
      <c r="BK478" t="s">
        <v>607</v>
      </c>
      <c r="BL478" t="s">
        <v>562</v>
      </c>
      <c r="BM478" t="s">
        <v>2235</v>
      </c>
      <c r="BN478">
        <v>1</v>
      </c>
      <c r="BO478">
        <v>349.01</v>
      </c>
      <c r="BR478" t="s">
        <v>549</v>
      </c>
    </row>
    <row r="479" spans="1:70">
      <c r="A479" t="s">
        <v>2232</v>
      </c>
      <c r="B479" t="s">
        <v>32</v>
      </c>
      <c r="C479" t="s">
        <v>567</v>
      </c>
      <c r="D479" t="s">
        <v>568</v>
      </c>
      <c r="E479" t="s">
        <v>34</v>
      </c>
      <c r="F479">
        <v>1</v>
      </c>
      <c r="H479" t="s">
        <v>2233</v>
      </c>
      <c r="R479" t="s">
        <v>2234</v>
      </c>
      <c r="S479">
        <v>2</v>
      </c>
      <c r="T479" t="s">
        <v>572</v>
      </c>
      <c r="U479" t="s">
        <v>547</v>
      </c>
      <c r="V479">
        <v>5397.19</v>
      </c>
      <c r="W479">
        <v>5996.88</v>
      </c>
      <c r="Z479" t="s">
        <v>573</v>
      </c>
      <c r="AA479" t="s">
        <v>549</v>
      </c>
      <c r="AB479" t="s">
        <v>748</v>
      </c>
      <c r="AC479" t="s">
        <v>550</v>
      </c>
      <c r="AD479" t="s">
        <v>551</v>
      </c>
      <c r="BR479" t="s">
        <v>549</v>
      </c>
    </row>
    <row r="480" spans="1:70">
      <c r="A480" t="s">
        <v>2232</v>
      </c>
      <c r="B480" t="s">
        <v>32</v>
      </c>
      <c r="C480" t="s">
        <v>567</v>
      </c>
      <c r="D480" t="s">
        <v>568</v>
      </c>
      <c r="E480" t="s">
        <v>34</v>
      </c>
      <c r="F480">
        <v>1</v>
      </c>
      <c r="H480" t="s">
        <v>2233</v>
      </c>
      <c r="R480" t="s">
        <v>2234</v>
      </c>
      <c r="S480">
        <v>5</v>
      </c>
      <c r="T480" t="s">
        <v>586</v>
      </c>
      <c r="U480" t="s">
        <v>547</v>
      </c>
      <c r="V480">
        <v>3681.45</v>
      </c>
      <c r="W480">
        <v>4090.5</v>
      </c>
      <c r="Z480" t="s">
        <v>587</v>
      </c>
      <c r="AA480" t="s">
        <v>549</v>
      </c>
      <c r="AB480" t="s">
        <v>748</v>
      </c>
      <c r="AC480" t="s">
        <v>550</v>
      </c>
      <c r="AD480" t="s">
        <v>551</v>
      </c>
      <c r="BR480" t="s">
        <v>549</v>
      </c>
    </row>
    <row r="481" spans="1:70">
      <c r="A481" t="s">
        <v>2232</v>
      </c>
      <c r="B481" t="s">
        <v>32</v>
      </c>
      <c r="C481" t="s">
        <v>567</v>
      </c>
      <c r="D481" t="s">
        <v>568</v>
      </c>
      <c r="E481" t="s">
        <v>34</v>
      </c>
      <c r="F481">
        <v>1</v>
      </c>
      <c r="H481" t="s">
        <v>2233</v>
      </c>
      <c r="R481" t="s">
        <v>2234</v>
      </c>
      <c r="S481">
        <v>1</v>
      </c>
      <c r="T481" t="s">
        <v>837</v>
      </c>
      <c r="U481" t="s">
        <v>547</v>
      </c>
      <c r="V481">
        <v>1287.3699999999999</v>
      </c>
      <c r="W481">
        <v>1430.41</v>
      </c>
      <c r="Z481" t="s">
        <v>838</v>
      </c>
      <c r="AA481" t="s">
        <v>549</v>
      </c>
      <c r="AB481" t="s">
        <v>748</v>
      </c>
      <c r="AC481" t="s">
        <v>550</v>
      </c>
      <c r="AD481" t="s">
        <v>551</v>
      </c>
      <c r="BR481" t="s">
        <v>549</v>
      </c>
    </row>
    <row r="482" spans="1:70">
      <c r="A482" t="s">
        <v>2232</v>
      </c>
      <c r="B482" t="s">
        <v>32</v>
      </c>
      <c r="C482" t="s">
        <v>567</v>
      </c>
      <c r="D482" t="s">
        <v>568</v>
      </c>
      <c r="E482" t="s">
        <v>34</v>
      </c>
      <c r="F482">
        <v>1</v>
      </c>
      <c r="H482" t="s">
        <v>2233</v>
      </c>
      <c r="R482" t="s">
        <v>2234</v>
      </c>
      <c r="S482">
        <v>1</v>
      </c>
      <c r="T482" t="s">
        <v>588</v>
      </c>
      <c r="U482" t="s">
        <v>547</v>
      </c>
      <c r="V482">
        <v>3579.19</v>
      </c>
      <c r="W482">
        <v>3976.88</v>
      </c>
      <c r="Z482" t="s">
        <v>589</v>
      </c>
      <c r="AA482" t="s">
        <v>549</v>
      </c>
      <c r="AB482" t="s">
        <v>748</v>
      </c>
      <c r="AC482" t="s">
        <v>550</v>
      </c>
      <c r="AD482" t="s">
        <v>551</v>
      </c>
      <c r="BR482" t="s">
        <v>549</v>
      </c>
    </row>
    <row r="483" spans="1:70">
      <c r="A483" t="s">
        <v>2236</v>
      </c>
      <c r="B483" t="s">
        <v>367</v>
      </c>
      <c r="C483" t="s">
        <v>725</v>
      </c>
      <c r="D483" t="s">
        <v>2237</v>
      </c>
      <c r="E483" t="s">
        <v>403</v>
      </c>
      <c r="F483">
        <v>1</v>
      </c>
      <c r="G483" t="s">
        <v>539</v>
      </c>
      <c r="H483" t="s">
        <v>2238</v>
      </c>
      <c r="I483" t="s">
        <v>748</v>
      </c>
      <c r="J483" t="s">
        <v>542</v>
      </c>
      <c r="K483">
        <v>35034.449999999997</v>
      </c>
      <c r="L483">
        <v>0</v>
      </c>
      <c r="M483" t="s">
        <v>1708</v>
      </c>
      <c r="N483" t="s">
        <v>544</v>
      </c>
      <c r="O483">
        <v>312.19</v>
      </c>
      <c r="P483">
        <v>31531.05</v>
      </c>
      <c r="Q483">
        <v>3503.4</v>
      </c>
      <c r="R483" t="s">
        <v>2239</v>
      </c>
      <c r="S483">
        <v>15</v>
      </c>
      <c r="T483" t="s">
        <v>846</v>
      </c>
      <c r="U483" t="s">
        <v>547</v>
      </c>
      <c r="V483">
        <v>2102.0700000000002</v>
      </c>
      <c r="W483">
        <v>2335.63</v>
      </c>
      <c r="Z483" t="s">
        <v>847</v>
      </c>
      <c r="AA483" t="s">
        <v>549</v>
      </c>
      <c r="AB483" t="s">
        <v>748</v>
      </c>
      <c r="AC483" t="s">
        <v>550</v>
      </c>
      <c r="AD483" t="s">
        <v>551</v>
      </c>
      <c r="AE483" t="s">
        <v>367</v>
      </c>
      <c r="AF483" t="s">
        <v>2240</v>
      </c>
      <c r="AG483" t="s">
        <v>1523</v>
      </c>
      <c r="AH483" t="s">
        <v>2241</v>
      </c>
      <c r="AI483" t="s">
        <v>577</v>
      </c>
      <c r="AJ483" t="s">
        <v>2242</v>
      </c>
      <c r="AK483" t="s">
        <v>556</v>
      </c>
      <c r="AM483" t="s">
        <v>1742</v>
      </c>
      <c r="AN483" t="s">
        <v>558</v>
      </c>
      <c r="AO483" t="s">
        <v>2243</v>
      </c>
      <c r="AP483" t="s">
        <v>2244</v>
      </c>
      <c r="AQ483" t="s">
        <v>1742</v>
      </c>
      <c r="AR483" t="s">
        <v>2244</v>
      </c>
      <c r="AS483" t="s">
        <v>367</v>
      </c>
      <c r="AT483" t="s">
        <v>2240</v>
      </c>
      <c r="AU483" t="s">
        <v>1523</v>
      </c>
      <c r="AV483" t="s">
        <v>2241</v>
      </c>
      <c r="AW483" t="s">
        <v>577</v>
      </c>
      <c r="AX483" t="s">
        <v>2242</v>
      </c>
      <c r="AY483" t="s">
        <v>556</v>
      </c>
      <c r="BA483" t="s">
        <v>1742</v>
      </c>
      <c r="BB483" t="s">
        <v>558</v>
      </c>
      <c r="BC483" t="s">
        <v>2243</v>
      </c>
      <c r="BD483" t="s">
        <v>2244</v>
      </c>
      <c r="BH483" t="s">
        <v>560</v>
      </c>
      <c r="BI483" t="s">
        <v>561</v>
      </c>
      <c r="BK483" t="s">
        <v>607</v>
      </c>
      <c r="BL483" t="s">
        <v>562</v>
      </c>
      <c r="BM483" t="s">
        <v>2245</v>
      </c>
      <c r="BN483">
        <v>1</v>
      </c>
      <c r="BO483">
        <v>312.19</v>
      </c>
      <c r="BR483" t="s">
        <v>549</v>
      </c>
    </row>
    <row r="484" spans="1:70">
      <c r="A484" t="s">
        <v>2246</v>
      </c>
      <c r="B484" t="s">
        <v>170</v>
      </c>
      <c r="C484" t="s">
        <v>2247</v>
      </c>
      <c r="D484" t="s">
        <v>2248</v>
      </c>
      <c r="E484" t="s">
        <v>70</v>
      </c>
      <c r="F484">
        <v>1</v>
      </c>
      <c r="G484" t="s">
        <v>539</v>
      </c>
      <c r="H484" t="s">
        <v>2249</v>
      </c>
      <c r="I484" t="s">
        <v>748</v>
      </c>
      <c r="J484" t="s">
        <v>542</v>
      </c>
      <c r="K484">
        <v>2092.59</v>
      </c>
      <c r="L484">
        <v>400</v>
      </c>
      <c r="M484" t="s">
        <v>570</v>
      </c>
      <c r="N484" t="s">
        <v>544</v>
      </c>
      <c r="O484">
        <v>87.39</v>
      </c>
      <c r="P484">
        <v>2492.59</v>
      </c>
      <c r="R484" t="s">
        <v>2250</v>
      </c>
      <c r="S484">
        <v>1</v>
      </c>
      <c r="T484" t="s">
        <v>704</v>
      </c>
      <c r="U484" t="s">
        <v>547</v>
      </c>
      <c r="V484">
        <v>2092.59</v>
      </c>
      <c r="W484">
        <v>2461.88</v>
      </c>
      <c r="X484">
        <v>2092.59</v>
      </c>
      <c r="Z484" t="s">
        <v>705</v>
      </c>
      <c r="AA484" t="s">
        <v>549</v>
      </c>
      <c r="AB484" t="s">
        <v>748</v>
      </c>
      <c r="AC484" t="s">
        <v>550</v>
      </c>
      <c r="AD484" t="s">
        <v>551</v>
      </c>
      <c r="AE484" t="s">
        <v>170</v>
      </c>
      <c r="AF484" t="s">
        <v>2251</v>
      </c>
      <c r="AI484" t="s">
        <v>577</v>
      </c>
      <c r="AJ484" t="s">
        <v>1889</v>
      </c>
      <c r="AK484" t="s">
        <v>556</v>
      </c>
      <c r="AM484" t="s">
        <v>1834</v>
      </c>
      <c r="AN484" t="s">
        <v>558</v>
      </c>
      <c r="AO484" t="s">
        <v>171</v>
      </c>
      <c r="AP484" t="s">
        <v>549</v>
      </c>
      <c r="AQ484" t="s">
        <v>549</v>
      </c>
      <c r="AR484" t="s">
        <v>2252</v>
      </c>
      <c r="AS484" t="s">
        <v>170</v>
      </c>
      <c r="AT484" t="s">
        <v>2251</v>
      </c>
      <c r="AW484" t="s">
        <v>577</v>
      </c>
      <c r="AX484" t="s">
        <v>1889</v>
      </c>
      <c r="AY484" t="s">
        <v>556</v>
      </c>
      <c r="BA484" t="s">
        <v>1834</v>
      </c>
      <c r="BB484" t="s">
        <v>558</v>
      </c>
      <c r="BC484" t="s">
        <v>171</v>
      </c>
      <c r="BD484" t="s">
        <v>2252</v>
      </c>
      <c r="BH484" t="s">
        <v>560</v>
      </c>
      <c r="BI484" t="s">
        <v>561</v>
      </c>
      <c r="BK484" t="s">
        <v>607</v>
      </c>
      <c r="BL484" t="s">
        <v>562</v>
      </c>
      <c r="BM484" t="s">
        <v>2253</v>
      </c>
      <c r="BN484">
        <v>1</v>
      </c>
      <c r="BO484">
        <v>20.72</v>
      </c>
      <c r="BP484">
        <v>20</v>
      </c>
      <c r="BQ484">
        <v>66.67</v>
      </c>
      <c r="BR484" t="s">
        <v>549</v>
      </c>
    </row>
    <row r="485" spans="1:70">
      <c r="A485" t="s">
        <v>2254</v>
      </c>
      <c r="B485" t="s">
        <v>60</v>
      </c>
      <c r="C485" t="s">
        <v>809</v>
      </c>
      <c r="D485" t="s">
        <v>810</v>
      </c>
      <c r="E485" t="s">
        <v>62</v>
      </c>
      <c r="F485">
        <v>1</v>
      </c>
      <c r="G485" t="s">
        <v>539</v>
      </c>
      <c r="H485" t="s">
        <v>2255</v>
      </c>
      <c r="I485" t="s">
        <v>748</v>
      </c>
      <c r="J485" t="s">
        <v>542</v>
      </c>
      <c r="K485">
        <v>3036.19</v>
      </c>
      <c r="L485">
        <v>400</v>
      </c>
      <c r="M485" t="s">
        <v>570</v>
      </c>
      <c r="N485" t="s">
        <v>544</v>
      </c>
      <c r="O485">
        <v>96.73</v>
      </c>
      <c r="P485">
        <v>3436.19</v>
      </c>
      <c r="R485" t="s">
        <v>2256</v>
      </c>
      <c r="S485">
        <v>1</v>
      </c>
      <c r="T485" t="s">
        <v>818</v>
      </c>
      <c r="U485" t="s">
        <v>547</v>
      </c>
      <c r="V485">
        <v>656.5</v>
      </c>
      <c r="W485">
        <v>656.5</v>
      </c>
      <c r="Z485" t="s">
        <v>819</v>
      </c>
      <c r="AA485" t="s">
        <v>549</v>
      </c>
      <c r="AB485" t="s">
        <v>748</v>
      </c>
      <c r="AC485" t="s">
        <v>550</v>
      </c>
      <c r="AD485" t="s">
        <v>551</v>
      </c>
      <c r="AE485" t="s">
        <v>60</v>
      </c>
      <c r="AF485" t="s">
        <v>2257</v>
      </c>
      <c r="AH485" t="s">
        <v>2258</v>
      </c>
      <c r="AI485" t="s">
        <v>670</v>
      </c>
      <c r="AJ485" t="s">
        <v>814</v>
      </c>
      <c r="AK485" t="s">
        <v>556</v>
      </c>
      <c r="AM485" t="s">
        <v>815</v>
      </c>
      <c r="AN485" t="s">
        <v>558</v>
      </c>
      <c r="AO485" t="s">
        <v>61</v>
      </c>
      <c r="AP485" t="s">
        <v>2259</v>
      </c>
      <c r="AQ485" t="s">
        <v>2260</v>
      </c>
      <c r="AR485" t="s">
        <v>816</v>
      </c>
      <c r="AS485" t="s">
        <v>60</v>
      </c>
      <c r="AT485" t="s">
        <v>2257</v>
      </c>
      <c r="AV485" t="s">
        <v>2258</v>
      </c>
      <c r="AW485" t="s">
        <v>670</v>
      </c>
      <c r="AX485" t="s">
        <v>814</v>
      </c>
      <c r="AY485" t="s">
        <v>556</v>
      </c>
      <c r="BA485" t="s">
        <v>815</v>
      </c>
      <c r="BB485" t="s">
        <v>558</v>
      </c>
      <c r="BC485" t="s">
        <v>61</v>
      </c>
      <c r="BD485" t="s">
        <v>816</v>
      </c>
      <c r="BH485" t="s">
        <v>560</v>
      </c>
      <c r="BI485" t="s">
        <v>561</v>
      </c>
      <c r="BK485" t="s">
        <v>607</v>
      </c>
      <c r="BL485" t="s">
        <v>562</v>
      </c>
      <c r="BM485" t="s">
        <v>2261</v>
      </c>
      <c r="BN485">
        <v>1</v>
      </c>
      <c r="BO485">
        <v>30.06</v>
      </c>
      <c r="BP485">
        <v>20</v>
      </c>
      <c r="BQ485">
        <v>66.67</v>
      </c>
      <c r="BR485" t="s">
        <v>549</v>
      </c>
    </row>
    <row r="486" spans="1:70">
      <c r="A486" t="s">
        <v>2254</v>
      </c>
      <c r="B486" t="s">
        <v>60</v>
      </c>
      <c r="C486" t="s">
        <v>809</v>
      </c>
      <c r="D486" t="s">
        <v>810</v>
      </c>
      <c r="E486" t="s">
        <v>62</v>
      </c>
      <c r="F486">
        <v>1</v>
      </c>
      <c r="H486" t="s">
        <v>2255</v>
      </c>
      <c r="R486" t="s">
        <v>2256</v>
      </c>
      <c r="S486">
        <v>1</v>
      </c>
      <c r="T486" t="s">
        <v>1372</v>
      </c>
      <c r="U486" t="s">
        <v>547</v>
      </c>
      <c r="V486">
        <v>1248.3599999999999</v>
      </c>
      <c r="W486">
        <v>1248.3599999999999</v>
      </c>
      <c r="Z486" t="s">
        <v>1373</v>
      </c>
      <c r="AA486" t="s">
        <v>549</v>
      </c>
      <c r="AB486" t="s">
        <v>748</v>
      </c>
      <c r="AC486" t="s">
        <v>550</v>
      </c>
      <c r="AD486" t="s">
        <v>551</v>
      </c>
      <c r="BR486" t="s">
        <v>549</v>
      </c>
    </row>
    <row r="487" spans="1:70">
      <c r="A487" t="s">
        <v>2254</v>
      </c>
      <c r="B487" t="s">
        <v>60</v>
      </c>
      <c r="C487" t="s">
        <v>809</v>
      </c>
      <c r="D487" t="s">
        <v>810</v>
      </c>
      <c r="E487" t="s">
        <v>62</v>
      </c>
      <c r="F487">
        <v>1</v>
      </c>
      <c r="H487" t="s">
        <v>2255</v>
      </c>
      <c r="R487" t="s">
        <v>2256</v>
      </c>
      <c r="S487">
        <v>1</v>
      </c>
      <c r="T487" t="s">
        <v>976</v>
      </c>
      <c r="U487" t="s">
        <v>547</v>
      </c>
      <c r="V487">
        <v>1131.33</v>
      </c>
      <c r="W487">
        <v>1131.33</v>
      </c>
      <c r="Z487" t="s">
        <v>977</v>
      </c>
      <c r="AA487" t="s">
        <v>549</v>
      </c>
      <c r="AB487" t="s">
        <v>748</v>
      </c>
      <c r="AC487" t="s">
        <v>550</v>
      </c>
      <c r="AD487" t="s">
        <v>551</v>
      </c>
      <c r="BR487" t="s">
        <v>549</v>
      </c>
    </row>
    <row r="488" spans="1:70">
      <c r="A488" t="s">
        <v>2262</v>
      </c>
      <c r="B488" t="s">
        <v>175</v>
      </c>
      <c r="C488" t="s">
        <v>1742</v>
      </c>
      <c r="D488" t="s">
        <v>2263</v>
      </c>
      <c r="E488" t="s">
        <v>404</v>
      </c>
      <c r="F488">
        <v>1</v>
      </c>
      <c r="G488" t="s">
        <v>539</v>
      </c>
      <c r="H488" t="s">
        <v>2264</v>
      </c>
      <c r="I488" t="s">
        <v>748</v>
      </c>
      <c r="J488" t="s">
        <v>542</v>
      </c>
      <c r="K488">
        <v>24641.97</v>
      </c>
      <c r="L488">
        <v>0</v>
      </c>
      <c r="M488" t="s">
        <v>1708</v>
      </c>
      <c r="N488" t="s">
        <v>544</v>
      </c>
      <c r="O488">
        <v>222.77</v>
      </c>
      <c r="P488">
        <v>22499.72</v>
      </c>
      <c r="Q488">
        <v>2142.25</v>
      </c>
      <c r="R488" t="s">
        <v>2265</v>
      </c>
      <c r="S488">
        <v>2</v>
      </c>
      <c r="T488" t="s">
        <v>586</v>
      </c>
      <c r="U488" t="s">
        <v>547</v>
      </c>
      <c r="V488">
        <v>3681.45</v>
      </c>
      <c r="W488">
        <v>4090.5</v>
      </c>
      <c r="Z488" t="s">
        <v>587</v>
      </c>
      <c r="AA488" t="s">
        <v>549</v>
      </c>
      <c r="AB488" t="s">
        <v>748</v>
      </c>
      <c r="AC488" t="s">
        <v>550</v>
      </c>
      <c r="AD488" t="s">
        <v>551</v>
      </c>
      <c r="AE488" t="s">
        <v>175</v>
      </c>
      <c r="AF488" t="s">
        <v>2266</v>
      </c>
      <c r="AG488" t="s">
        <v>2267</v>
      </c>
      <c r="AH488" t="s">
        <v>2268</v>
      </c>
      <c r="AI488" t="s">
        <v>2269</v>
      </c>
      <c r="AJ488" t="s">
        <v>2270</v>
      </c>
      <c r="AK488" t="s">
        <v>556</v>
      </c>
      <c r="AM488" t="s">
        <v>2271</v>
      </c>
      <c r="AN488" t="s">
        <v>558</v>
      </c>
      <c r="AO488" t="s">
        <v>176</v>
      </c>
      <c r="AP488" t="s">
        <v>2272</v>
      </c>
      <c r="AQ488" t="s">
        <v>2273</v>
      </c>
      <c r="AR488" t="s">
        <v>2272</v>
      </c>
      <c r="AS488" t="s">
        <v>175</v>
      </c>
      <c r="AT488" t="s">
        <v>2266</v>
      </c>
      <c r="AU488" t="s">
        <v>2267</v>
      </c>
      <c r="AV488" t="s">
        <v>2268</v>
      </c>
      <c r="AW488" t="s">
        <v>2269</v>
      </c>
      <c r="AX488" t="s">
        <v>2270</v>
      </c>
      <c r="AY488" t="s">
        <v>556</v>
      </c>
      <c r="BA488" t="s">
        <v>2271</v>
      </c>
      <c r="BB488" t="s">
        <v>558</v>
      </c>
      <c r="BC488" t="s">
        <v>176</v>
      </c>
      <c r="BD488" t="s">
        <v>2272</v>
      </c>
      <c r="BH488" t="s">
        <v>560</v>
      </c>
      <c r="BI488" t="s">
        <v>561</v>
      </c>
      <c r="BK488" t="s">
        <v>607</v>
      </c>
      <c r="BL488" t="s">
        <v>562</v>
      </c>
      <c r="BM488" t="s">
        <v>2274</v>
      </c>
      <c r="BN488">
        <v>1</v>
      </c>
      <c r="BO488">
        <v>222.77</v>
      </c>
      <c r="BR488" t="s">
        <v>549</v>
      </c>
    </row>
    <row r="489" spans="1:70">
      <c r="A489" t="s">
        <v>2262</v>
      </c>
      <c r="B489" t="s">
        <v>175</v>
      </c>
      <c r="C489" t="s">
        <v>1742</v>
      </c>
      <c r="D489" t="s">
        <v>2263</v>
      </c>
      <c r="E489" t="s">
        <v>404</v>
      </c>
      <c r="F489">
        <v>1</v>
      </c>
      <c r="H489" t="s">
        <v>2264</v>
      </c>
      <c r="R489" t="s">
        <v>2265</v>
      </c>
      <c r="S489">
        <v>2</v>
      </c>
      <c r="T489" t="s">
        <v>616</v>
      </c>
      <c r="U489" t="s">
        <v>547</v>
      </c>
      <c r="V489">
        <v>1609.68</v>
      </c>
      <c r="W489">
        <v>1893.75</v>
      </c>
      <c r="X489">
        <v>1609.68</v>
      </c>
      <c r="Z489" t="s">
        <v>617</v>
      </c>
      <c r="AA489" t="s">
        <v>549</v>
      </c>
      <c r="AB489" t="s">
        <v>748</v>
      </c>
      <c r="AC489" t="s">
        <v>550</v>
      </c>
      <c r="AD489" t="s">
        <v>551</v>
      </c>
      <c r="BR489" t="s">
        <v>549</v>
      </c>
    </row>
    <row r="490" spans="1:70">
      <c r="A490" t="s">
        <v>2262</v>
      </c>
      <c r="B490" t="s">
        <v>175</v>
      </c>
      <c r="C490" t="s">
        <v>1742</v>
      </c>
      <c r="D490" t="s">
        <v>2263</v>
      </c>
      <c r="E490" t="s">
        <v>404</v>
      </c>
      <c r="F490">
        <v>1</v>
      </c>
      <c r="H490" t="s">
        <v>2264</v>
      </c>
      <c r="R490" t="s">
        <v>2265</v>
      </c>
      <c r="S490">
        <v>4</v>
      </c>
      <c r="T490" t="s">
        <v>946</v>
      </c>
      <c r="U490" t="s">
        <v>547</v>
      </c>
      <c r="V490">
        <v>510.86</v>
      </c>
      <c r="W490">
        <v>567.62</v>
      </c>
      <c r="Z490" t="s">
        <v>947</v>
      </c>
      <c r="AA490" t="s">
        <v>549</v>
      </c>
      <c r="AB490" t="s">
        <v>748</v>
      </c>
      <c r="AC490" t="s">
        <v>550</v>
      </c>
      <c r="AD490" t="s">
        <v>551</v>
      </c>
      <c r="BR490" t="s">
        <v>549</v>
      </c>
    </row>
    <row r="491" spans="1:70">
      <c r="A491" t="s">
        <v>2262</v>
      </c>
      <c r="B491" t="s">
        <v>175</v>
      </c>
      <c r="C491" t="s">
        <v>1742</v>
      </c>
      <c r="D491" t="s">
        <v>2263</v>
      </c>
      <c r="E491" t="s">
        <v>404</v>
      </c>
      <c r="F491">
        <v>1</v>
      </c>
      <c r="H491" t="s">
        <v>2264</v>
      </c>
      <c r="R491" t="s">
        <v>2265</v>
      </c>
      <c r="S491">
        <v>1</v>
      </c>
      <c r="T491" t="s">
        <v>1047</v>
      </c>
      <c r="U491" t="s">
        <v>547</v>
      </c>
      <c r="V491">
        <v>3067.88</v>
      </c>
      <c r="W491">
        <v>3408.75</v>
      </c>
      <c r="Z491" t="s">
        <v>610</v>
      </c>
      <c r="AA491" t="s">
        <v>549</v>
      </c>
      <c r="AB491" t="s">
        <v>748</v>
      </c>
      <c r="AC491" t="s">
        <v>550</v>
      </c>
      <c r="AD491" t="s">
        <v>551</v>
      </c>
      <c r="BR491" t="s">
        <v>549</v>
      </c>
    </row>
    <row r="492" spans="1:70">
      <c r="A492" t="s">
        <v>2262</v>
      </c>
      <c r="B492" t="s">
        <v>175</v>
      </c>
      <c r="C492" t="s">
        <v>1742</v>
      </c>
      <c r="D492" t="s">
        <v>2263</v>
      </c>
      <c r="E492" t="s">
        <v>404</v>
      </c>
      <c r="F492">
        <v>1</v>
      </c>
      <c r="H492" t="s">
        <v>2264</v>
      </c>
      <c r="R492" t="s">
        <v>2265</v>
      </c>
      <c r="S492">
        <v>1</v>
      </c>
      <c r="T492" t="s">
        <v>678</v>
      </c>
      <c r="U492" t="s">
        <v>547</v>
      </c>
      <c r="V492">
        <v>5624.44</v>
      </c>
      <c r="W492">
        <v>6249.38</v>
      </c>
      <c r="Z492" t="s">
        <v>679</v>
      </c>
      <c r="AA492" t="s">
        <v>549</v>
      </c>
      <c r="AB492" t="s">
        <v>748</v>
      </c>
      <c r="AC492" t="s">
        <v>550</v>
      </c>
      <c r="AD492" t="s">
        <v>551</v>
      </c>
      <c r="BR492" t="s">
        <v>549</v>
      </c>
    </row>
    <row r="493" spans="1:70">
      <c r="A493" t="s">
        <v>2262</v>
      </c>
      <c r="B493" t="s">
        <v>175</v>
      </c>
      <c r="C493" t="s">
        <v>1742</v>
      </c>
      <c r="D493" t="s">
        <v>2263</v>
      </c>
      <c r="E493" t="s">
        <v>404</v>
      </c>
      <c r="F493">
        <v>1</v>
      </c>
      <c r="H493" t="s">
        <v>2264</v>
      </c>
      <c r="R493" t="s">
        <v>2265</v>
      </c>
      <c r="S493">
        <v>2</v>
      </c>
      <c r="T493" t="s">
        <v>818</v>
      </c>
      <c r="U493" t="s">
        <v>547</v>
      </c>
      <c r="V493">
        <v>590.85</v>
      </c>
      <c r="W493">
        <v>656.5</v>
      </c>
      <c r="Z493" t="s">
        <v>819</v>
      </c>
      <c r="AA493" t="s">
        <v>549</v>
      </c>
      <c r="AB493" t="s">
        <v>748</v>
      </c>
      <c r="AC493" t="s">
        <v>550</v>
      </c>
      <c r="AD493" t="s">
        <v>551</v>
      </c>
      <c r="BR493" t="s">
        <v>549</v>
      </c>
    </row>
    <row r="494" spans="1:70">
      <c r="A494" t="s">
        <v>2275</v>
      </c>
      <c r="B494" t="s">
        <v>68</v>
      </c>
      <c r="C494" t="s">
        <v>833</v>
      </c>
      <c r="D494" t="s">
        <v>834</v>
      </c>
      <c r="E494" t="s">
        <v>375</v>
      </c>
      <c r="F494">
        <v>1</v>
      </c>
      <c r="G494" t="s">
        <v>539</v>
      </c>
      <c r="H494" t="s">
        <v>2276</v>
      </c>
      <c r="I494" t="s">
        <v>748</v>
      </c>
      <c r="J494" t="s">
        <v>542</v>
      </c>
      <c r="K494">
        <v>21903.11</v>
      </c>
      <c r="L494">
        <v>0</v>
      </c>
      <c r="M494" t="s">
        <v>1708</v>
      </c>
      <c r="N494" t="s">
        <v>544</v>
      </c>
      <c r="O494">
        <v>207.61</v>
      </c>
      <c r="P494">
        <v>20968.93</v>
      </c>
      <c r="Q494">
        <v>934.18</v>
      </c>
      <c r="R494" t="s">
        <v>2277</v>
      </c>
      <c r="S494">
        <v>3</v>
      </c>
      <c r="T494" t="s">
        <v>837</v>
      </c>
      <c r="U494" t="s">
        <v>547</v>
      </c>
      <c r="V494">
        <v>1358.89</v>
      </c>
      <c r="W494">
        <v>1430.41</v>
      </c>
      <c r="Z494" t="s">
        <v>838</v>
      </c>
      <c r="AA494" t="s">
        <v>549</v>
      </c>
      <c r="AB494" t="s">
        <v>748</v>
      </c>
      <c r="AC494" t="s">
        <v>550</v>
      </c>
      <c r="AD494" t="s">
        <v>551</v>
      </c>
      <c r="AE494" t="s">
        <v>839</v>
      </c>
      <c r="AF494" t="s">
        <v>840</v>
      </c>
      <c r="AG494" t="s">
        <v>841</v>
      </c>
      <c r="AI494" t="s">
        <v>577</v>
      </c>
      <c r="AJ494" t="s">
        <v>842</v>
      </c>
      <c r="AK494" t="s">
        <v>556</v>
      </c>
      <c r="AM494" t="s">
        <v>843</v>
      </c>
      <c r="AN494" t="s">
        <v>558</v>
      </c>
      <c r="AO494" t="s">
        <v>69</v>
      </c>
      <c r="AP494" t="s">
        <v>549</v>
      </c>
      <c r="AQ494" t="s">
        <v>549</v>
      </c>
      <c r="AR494" t="s">
        <v>844</v>
      </c>
      <c r="AS494" t="s">
        <v>839</v>
      </c>
      <c r="AT494" t="s">
        <v>840</v>
      </c>
      <c r="AU494" t="s">
        <v>841</v>
      </c>
      <c r="AW494" t="s">
        <v>577</v>
      </c>
      <c r="AX494" t="s">
        <v>842</v>
      </c>
      <c r="AY494" t="s">
        <v>556</v>
      </c>
      <c r="BA494" t="s">
        <v>843</v>
      </c>
      <c r="BB494" t="s">
        <v>558</v>
      </c>
      <c r="BC494" t="s">
        <v>69</v>
      </c>
      <c r="BD494" t="s">
        <v>844</v>
      </c>
      <c r="BH494" t="s">
        <v>2278</v>
      </c>
      <c r="BI494" t="s">
        <v>2279</v>
      </c>
      <c r="BK494" t="s">
        <v>607</v>
      </c>
      <c r="BL494" t="s">
        <v>562</v>
      </c>
      <c r="BM494" t="s">
        <v>2280</v>
      </c>
      <c r="BN494">
        <v>1</v>
      </c>
      <c r="BO494">
        <v>207.61</v>
      </c>
      <c r="BR494" t="s">
        <v>549</v>
      </c>
    </row>
    <row r="495" spans="1:70">
      <c r="A495" t="s">
        <v>2275</v>
      </c>
      <c r="B495" t="s">
        <v>68</v>
      </c>
      <c r="C495" t="s">
        <v>833</v>
      </c>
      <c r="D495" t="s">
        <v>834</v>
      </c>
      <c r="E495" t="s">
        <v>375</v>
      </c>
      <c r="F495">
        <v>1</v>
      </c>
      <c r="H495" t="s">
        <v>2276</v>
      </c>
      <c r="R495" t="s">
        <v>2277</v>
      </c>
      <c r="S495">
        <v>1</v>
      </c>
      <c r="T495" t="s">
        <v>588</v>
      </c>
      <c r="U495" t="s">
        <v>547</v>
      </c>
      <c r="V495">
        <v>3778.04</v>
      </c>
      <c r="W495">
        <v>3976.88</v>
      </c>
      <c r="Z495" t="s">
        <v>589</v>
      </c>
      <c r="AA495" t="s">
        <v>549</v>
      </c>
      <c r="AB495" t="s">
        <v>748</v>
      </c>
      <c r="AC495" t="s">
        <v>550</v>
      </c>
      <c r="AD495" t="s">
        <v>551</v>
      </c>
      <c r="BR495" t="s">
        <v>549</v>
      </c>
    </row>
    <row r="496" spans="1:70">
      <c r="A496" t="s">
        <v>2275</v>
      </c>
      <c r="B496" t="s">
        <v>68</v>
      </c>
      <c r="C496" t="s">
        <v>833</v>
      </c>
      <c r="D496" t="s">
        <v>834</v>
      </c>
      <c r="E496" t="s">
        <v>375</v>
      </c>
      <c r="F496">
        <v>1</v>
      </c>
      <c r="H496" t="s">
        <v>2276</v>
      </c>
      <c r="R496" t="s">
        <v>2277</v>
      </c>
      <c r="S496">
        <v>1</v>
      </c>
      <c r="T496" t="s">
        <v>1047</v>
      </c>
      <c r="U496" t="s">
        <v>547</v>
      </c>
      <c r="V496">
        <v>3238.31</v>
      </c>
      <c r="W496">
        <v>3408.75</v>
      </c>
      <c r="Z496" t="s">
        <v>610</v>
      </c>
      <c r="AA496" t="s">
        <v>549</v>
      </c>
      <c r="AB496" t="s">
        <v>748</v>
      </c>
      <c r="AC496" t="s">
        <v>550</v>
      </c>
      <c r="AD496" t="s">
        <v>551</v>
      </c>
      <c r="BR496" t="s">
        <v>549</v>
      </c>
    </row>
    <row r="497" spans="1:70">
      <c r="A497" t="s">
        <v>2275</v>
      </c>
      <c r="B497" t="s">
        <v>68</v>
      </c>
      <c r="C497" t="s">
        <v>833</v>
      </c>
      <c r="D497" t="s">
        <v>834</v>
      </c>
      <c r="E497" t="s">
        <v>375</v>
      </c>
      <c r="F497">
        <v>1</v>
      </c>
      <c r="H497" t="s">
        <v>2276</v>
      </c>
      <c r="R497" t="s">
        <v>2277</v>
      </c>
      <c r="S497">
        <v>2</v>
      </c>
      <c r="T497" t="s">
        <v>616</v>
      </c>
      <c r="U497" t="s">
        <v>547</v>
      </c>
      <c r="V497">
        <v>1609.68</v>
      </c>
      <c r="W497">
        <v>1893.75</v>
      </c>
      <c r="X497">
        <v>1609.68</v>
      </c>
      <c r="Z497" t="s">
        <v>617</v>
      </c>
      <c r="AA497" t="s">
        <v>549</v>
      </c>
      <c r="AB497" t="s">
        <v>748</v>
      </c>
      <c r="AC497" t="s">
        <v>550</v>
      </c>
      <c r="AD497" t="s">
        <v>551</v>
      </c>
      <c r="BR497" t="s">
        <v>549</v>
      </c>
    </row>
    <row r="498" spans="1:70">
      <c r="A498" t="s">
        <v>2275</v>
      </c>
      <c r="B498" t="s">
        <v>68</v>
      </c>
      <c r="C498" t="s">
        <v>833</v>
      </c>
      <c r="D498" t="s">
        <v>834</v>
      </c>
      <c r="E498" t="s">
        <v>375</v>
      </c>
      <c r="F498">
        <v>1</v>
      </c>
      <c r="H498" t="s">
        <v>2276</v>
      </c>
      <c r="R498" t="s">
        <v>2277</v>
      </c>
      <c r="S498">
        <v>3</v>
      </c>
      <c r="T498" t="s">
        <v>846</v>
      </c>
      <c r="U498" t="s">
        <v>547</v>
      </c>
      <c r="V498">
        <v>2218.85</v>
      </c>
      <c r="W498">
        <v>2335.63</v>
      </c>
      <c r="Z498" t="s">
        <v>847</v>
      </c>
      <c r="AA498" t="s">
        <v>549</v>
      </c>
      <c r="AB498" t="s">
        <v>748</v>
      </c>
      <c r="AC498" t="s">
        <v>550</v>
      </c>
      <c r="AD498" t="s">
        <v>551</v>
      </c>
      <c r="BR498" t="s">
        <v>549</v>
      </c>
    </row>
    <row r="499" spans="1:70">
      <c r="A499" t="s">
        <v>2281</v>
      </c>
      <c r="B499" t="s">
        <v>108</v>
      </c>
      <c r="C499" t="s">
        <v>992</v>
      </c>
      <c r="D499" t="s">
        <v>993</v>
      </c>
      <c r="E499" t="s">
        <v>110</v>
      </c>
      <c r="F499">
        <v>1</v>
      </c>
      <c r="G499" t="s">
        <v>539</v>
      </c>
      <c r="H499" t="s">
        <v>2282</v>
      </c>
      <c r="I499" t="s">
        <v>748</v>
      </c>
      <c r="J499" t="s">
        <v>542</v>
      </c>
      <c r="K499">
        <v>11782.92</v>
      </c>
      <c r="L499">
        <v>200</v>
      </c>
      <c r="M499" t="s">
        <v>543</v>
      </c>
      <c r="N499" t="s">
        <v>544</v>
      </c>
      <c r="O499">
        <v>144.16</v>
      </c>
      <c r="P499">
        <v>11393.78</v>
      </c>
      <c r="Q499">
        <v>589.14</v>
      </c>
      <c r="R499" t="s">
        <v>2283</v>
      </c>
      <c r="S499">
        <v>6</v>
      </c>
      <c r="T499" t="s">
        <v>584</v>
      </c>
      <c r="U499" t="s">
        <v>547</v>
      </c>
      <c r="V499">
        <v>1865.63</v>
      </c>
      <c r="W499">
        <v>1963.82</v>
      </c>
      <c r="Z499" t="s">
        <v>585</v>
      </c>
      <c r="AA499" t="s">
        <v>549</v>
      </c>
      <c r="AB499" t="s">
        <v>748</v>
      </c>
      <c r="AC499" t="s">
        <v>550</v>
      </c>
      <c r="AD499" t="s">
        <v>551</v>
      </c>
      <c r="AE499" t="s">
        <v>996</v>
      </c>
      <c r="AF499" t="s">
        <v>997</v>
      </c>
      <c r="AH499" t="s">
        <v>998</v>
      </c>
      <c r="AI499" t="s">
        <v>554</v>
      </c>
      <c r="AJ499" t="s">
        <v>999</v>
      </c>
      <c r="AK499" t="s">
        <v>556</v>
      </c>
      <c r="AM499" t="s">
        <v>1000</v>
      </c>
      <c r="AN499" t="s">
        <v>558</v>
      </c>
      <c r="AO499" t="s">
        <v>109</v>
      </c>
      <c r="AP499" t="s">
        <v>1001</v>
      </c>
      <c r="AQ499" t="s">
        <v>1002</v>
      </c>
      <c r="AR499" t="s">
        <v>1001</v>
      </c>
      <c r="AS499" t="s">
        <v>996</v>
      </c>
      <c r="AT499" t="s">
        <v>997</v>
      </c>
      <c r="AV499" t="s">
        <v>998</v>
      </c>
      <c r="AW499" t="s">
        <v>554</v>
      </c>
      <c r="AX499" t="s">
        <v>999</v>
      </c>
      <c r="AY499" t="s">
        <v>556</v>
      </c>
      <c r="BA499" t="s">
        <v>1000</v>
      </c>
      <c r="BB499" t="s">
        <v>558</v>
      </c>
      <c r="BC499" t="s">
        <v>109</v>
      </c>
      <c r="BD499" t="s">
        <v>1001</v>
      </c>
      <c r="BH499" t="s">
        <v>560</v>
      </c>
      <c r="BI499" t="s">
        <v>561</v>
      </c>
      <c r="BK499" t="s">
        <v>607</v>
      </c>
      <c r="BL499" t="s">
        <v>562</v>
      </c>
      <c r="BM499" t="s">
        <v>2284</v>
      </c>
      <c r="BN499">
        <v>1</v>
      </c>
      <c r="BO499">
        <v>110.83</v>
      </c>
      <c r="BP499">
        <v>20</v>
      </c>
      <c r="BQ499">
        <v>33.33</v>
      </c>
      <c r="BR499" t="s">
        <v>549</v>
      </c>
    </row>
    <row r="500" spans="1:70">
      <c r="A500" t="s">
        <v>2285</v>
      </c>
      <c r="B500" t="s">
        <v>317</v>
      </c>
      <c r="C500" t="s">
        <v>2286</v>
      </c>
      <c r="D500" t="s">
        <v>2287</v>
      </c>
      <c r="E500" t="s">
        <v>319</v>
      </c>
      <c r="F500">
        <v>1</v>
      </c>
      <c r="G500" t="s">
        <v>539</v>
      </c>
      <c r="H500" t="s">
        <v>2288</v>
      </c>
      <c r="I500" t="s">
        <v>748</v>
      </c>
      <c r="J500" t="s">
        <v>542</v>
      </c>
      <c r="K500">
        <v>10907.5</v>
      </c>
      <c r="L500">
        <v>200</v>
      </c>
      <c r="M500" t="s">
        <v>543</v>
      </c>
      <c r="N500" t="s">
        <v>544</v>
      </c>
      <c r="O500">
        <v>135.93</v>
      </c>
      <c r="P500">
        <v>10562.13</v>
      </c>
      <c r="Q500">
        <v>545.37</v>
      </c>
      <c r="R500" t="s">
        <v>2289</v>
      </c>
      <c r="S500">
        <v>1</v>
      </c>
      <c r="T500" t="s">
        <v>946</v>
      </c>
      <c r="U500" t="s">
        <v>547</v>
      </c>
      <c r="V500">
        <v>539.24</v>
      </c>
      <c r="W500">
        <v>567.62</v>
      </c>
      <c r="Z500" t="s">
        <v>947</v>
      </c>
      <c r="AA500" t="s">
        <v>549</v>
      </c>
      <c r="AB500" t="s">
        <v>748</v>
      </c>
      <c r="AC500" t="s">
        <v>550</v>
      </c>
      <c r="AD500" t="s">
        <v>551</v>
      </c>
      <c r="AE500" t="s">
        <v>317</v>
      </c>
      <c r="AF500" t="s">
        <v>2290</v>
      </c>
      <c r="AG500" t="s">
        <v>2291</v>
      </c>
      <c r="AH500" t="s">
        <v>2292</v>
      </c>
      <c r="AI500" t="s">
        <v>577</v>
      </c>
      <c r="AJ500" t="s">
        <v>2293</v>
      </c>
      <c r="AK500" t="s">
        <v>556</v>
      </c>
      <c r="AM500" t="s">
        <v>2294</v>
      </c>
      <c r="AN500" t="s">
        <v>558</v>
      </c>
      <c r="AO500" t="s">
        <v>318</v>
      </c>
      <c r="AP500" t="s">
        <v>2295</v>
      </c>
      <c r="AQ500" t="s">
        <v>2296</v>
      </c>
      <c r="AR500" t="s">
        <v>2297</v>
      </c>
      <c r="AS500" t="s">
        <v>317</v>
      </c>
      <c r="AT500" t="s">
        <v>2290</v>
      </c>
      <c r="AU500" t="s">
        <v>2291</v>
      </c>
      <c r="AV500" t="s">
        <v>2292</v>
      </c>
      <c r="AW500" t="s">
        <v>577</v>
      </c>
      <c r="AX500" t="s">
        <v>2293</v>
      </c>
      <c r="AY500" t="s">
        <v>556</v>
      </c>
      <c r="BA500" t="s">
        <v>2294</v>
      </c>
      <c r="BB500" t="s">
        <v>558</v>
      </c>
      <c r="BC500" t="s">
        <v>318</v>
      </c>
      <c r="BD500" t="s">
        <v>2297</v>
      </c>
      <c r="BH500" t="s">
        <v>560</v>
      </c>
      <c r="BI500" t="s">
        <v>561</v>
      </c>
      <c r="BK500" t="s">
        <v>607</v>
      </c>
      <c r="BL500" t="s">
        <v>562</v>
      </c>
      <c r="BM500" t="s">
        <v>2298</v>
      </c>
      <c r="BN500">
        <v>1</v>
      </c>
      <c r="BO500">
        <v>102.6</v>
      </c>
      <c r="BP500">
        <v>20</v>
      </c>
      <c r="BQ500">
        <v>33.33</v>
      </c>
      <c r="BR500" t="s">
        <v>549</v>
      </c>
    </row>
    <row r="501" spans="1:70">
      <c r="A501" t="s">
        <v>2285</v>
      </c>
      <c r="B501" t="s">
        <v>317</v>
      </c>
      <c r="C501" t="s">
        <v>2286</v>
      </c>
      <c r="D501" t="s">
        <v>2287</v>
      </c>
      <c r="E501" t="s">
        <v>319</v>
      </c>
      <c r="F501">
        <v>1</v>
      </c>
      <c r="H501" t="s">
        <v>2288</v>
      </c>
      <c r="R501" t="s">
        <v>2289</v>
      </c>
      <c r="S501">
        <v>1</v>
      </c>
      <c r="T501" t="s">
        <v>586</v>
      </c>
      <c r="U501" t="s">
        <v>547</v>
      </c>
      <c r="V501">
        <v>3885.98</v>
      </c>
      <c r="W501">
        <v>4090.5</v>
      </c>
      <c r="Z501" t="s">
        <v>587</v>
      </c>
      <c r="AA501" t="s">
        <v>549</v>
      </c>
      <c r="AB501" t="s">
        <v>748</v>
      </c>
      <c r="AC501" t="s">
        <v>550</v>
      </c>
      <c r="AD501" t="s">
        <v>551</v>
      </c>
      <c r="BR501" t="s">
        <v>549</v>
      </c>
    </row>
    <row r="502" spans="1:70">
      <c r="A502" t="s">
        <v>2285</v>
      </c>
      <c r="B502" t="s">
        <v>317</v>
      </c>
      <c r="C502" t="s">
        <v>2286</v>
      </c>
      <c r="D502" t="s">
        <v>2287</v>
      </c>
      <c r="E502" t="s">
        <v>319</v>
      </c>
      <c r="F502">
        <v>1</v>
      </c>
      <c r="H502" t="s">
        <v>2288</v>
      </c>
      <c r="R502" t="s">
        <v>2289</v>
      </c>
      <c r="S502">
        <v>1</v>
      </c>
      <c r="T502" t="s">
        <v>678</v>
      </c>
      <c r="U502" t="s">
        <v>547</v>
      </c>
      <c r="V502">
        <v>5936.91</v>
      </c>
      <c r="W502">
        <v>6249.38</v>
      </c>
      <c r="Z502" t="s">
        <v>679</v>
      </c>
      <c r="AA502" t="s">
        <v>549</v>
      </c>
      <c r="AB502" t="s">
        <v>748</v>
      </c>
      <c r="AC502" t="s">
        <v>550</v>
      </c>
      <c r="AD502" t="s">
        <v>551</v>
      </c>
      <c r="BR502" t="s">
        <v>549</v>
      </c>
    </row>
    <row r="503" spans="1:70">
      <c r="A503" t="s">
        <v>2299</v>
      </c>
      <c r="B503" t="s">
        <v>264</v>
      </c>
      <c r="C503" t="s">
        <v>2300</v>
      </c>
      <c r="D503" t="s">
        <v>2301</v>
      </c>
      <c r="E503" t="s">
        <v>266</v>
      </c>
      <c r="F503">
        <v>3</v>
      </c>
      <c r="G503" t="s">
        <v>539</v>
      </c>
      <c r="H503" t="s">
        <v>2302</v>
      </c>
      <c r="I503" t="s">
        <v>748</v>
      </c>
      <c r="J503" t="s">
        <v>542</v>
      </c>
      <c r="K503">
        <v>14487.15</v>
      </c>
      <c r="L503">
        <v>200</v>
      </c>
      <c r="M503" t="s">
        <v>543</v>
      </c>
      <c r="N503" t="s">
        <v>544</v>
      </c>
      <c r="O503">
        <v>176.77</v>
      </c>
      <c r="P503">
        <v>14687.15</v>
      </c>
      <c r="R503" t="s">
        <v>2303</v>
      </c>
      <c r="S503">
        <v>5</v>
      </c>
      <c r="T503" t="s">
        <v>616</v>
      </c>
      <c r="U503" t="s">
        <v>547</v>
      </c>
      <c r="V503">
        <v>1609.68</v>
      </c>
      <c r="W503">
        <v>1893.75</v>
      </c>
      <c r="X503">
        <v>1609.68</v>
      </c>
      <c r="Z503" t="s">
        <v>617</v>
      </c>
      <c r="AA503" t="s">
        <v>549</v>
      </c>
      <c r="AB503" t="s">
        <v>748</v>
      </c>
      <c r="AC503" t="s">
        <v>550</v>
      </c>
      <c r="AD503" t="s">
        <v>551</v>
      </c>
      <c r="AE503" t="s">
        <v>264</v>
      </c>
      <c r="AF503" t="s">
        <v>2304</v>
      </c>
      <c r="AG503" t="s">
        <v>2305</v>
      </c>
      <c r="AH503" t="s">
        <v>2306</v>
      </c>
      <c r="AI503" t="s">
        <v>621</v>
      </c>
      <c r="AJ503" t="s">
        <v>2307</v>
      </c>
      <c r="AK503" t="s">
        <v>556</v>
      </c>
      <c r="AM503" t="s">
        <v>2308</v>
      </c>
      <c r="AN503" t="s">
        <v>558</v>
      </c>
      <c r="AO503" t="s">
        <v>265</v>
      </c>
      <c r="AP503" t="s">
        <v>2309</v>
      </c>
      <c r="AQ503" t="s">
        <v>2310</v>
      </c>
      <c r="AR503" t="s">
        <v>2311</v>
      </c>
      <c r="AS503" t="s">
        <v>264</v>
      </c>
      <c r="AT503" t="s">
        <v>2304</v>
      </c>
      <c r="AU503" t="s">
        <v>2305</v>
      </c>
      <c r="AV503" t="s">
        <v>2306</v>
      </c>
      <c r="AW503" t="s">
        <v>621</v>
      </c>
      <c r="AX503" t="s">
        <v>2307</v>
      </c>
      <c r="AY503" t="s">
        <v>556</v>
      </c>
      <c r="BA503" t="s">
        <v>2308</v>
      </c>
      <c r="BB503" t="s">
        <v>558</v>
      </c>
      <c r="BC503" t="s">
        <v>265</v>
      </c>
      <c r="BD503" t="s">
        <v>2311</v>
      </c>
      <c r="BH503" t="s">
        <v>560</v>
      </c>
      <c r="BI503" t="s">
        <v>561</v>
      </c>
      <c r="BK503" t="s">
        <v>607</v>
      </c>
      <c r="BL503" t="s">
        <v>562</v>
      </c>
      <c r="BM503" t="s">
        <v>2312</v>
      </c>
      <c r="BN503">
        <v>1</v>
      </c>
      <c r="BO503">
        <v>143.44</v>
      </c>
      <c r="BP503">
        <v>20</v>
      </c>
      <c r="BQ503">
        <v>33.33</v>
      </c>
      <c r="BR503" t="s">
        <v>549</v>
      </c>
    </row>
    <row r="504" spans="1:70">
      <c r="A504" t="s">
        <v>2299</v>
      </c>
      <c r="B504" t="s">
        <v>264</v>
      </c>
      <c r="C504" t="s">
        <v>2300</v>
      </c>
      <c r="D504" t="s">
        <v>2301</v>
      </c>
      <c r="E504" t="s">
        <v>266</v>
      </c>
      <c r="F504">
        <v>3</v>
      </c>
      <c r="H504" t="s">
        <v>2302</v>
      </c>
      <c r="R504" t="s">
        <v>2303</v>
      </c>
      <c r="S504">
        <v>3</v>
      </c>
      <c r="T504" t="s">
        <v>953</v>
      </c>
      <c r="U504" t="s">
        <v>547</v>
      </c>
      <c r="V504">
        <v>2146.25</v>
      </c>
      <c r="W504">
        <v>2146.25</v>
      </c>
      <c r="Z504" t="s">
        <v>954</v>
      </c>
      <c r="AA504" t="s">
        <v>549</v>
      </c>
      <c r="AB504" t="s">
        <v>748</v>
      </c>
      <c r="AC504" t="s">
        <v>550</v>
      </c>
      <c r="AD504" t="s">
        <v>551</v>
      </c>
      <c r="BR504" t="s">
        <v>549</v>
      </c>
    </row>
    <row r="505" spans="1:70">
      <c r="A505" t="s">
        <v>2313</v>
      </c>
      <c r="B505" t="s">
        <v>264</v>
      </c>
      <c r="C505" t="s">
        <v>2300</v>
      </c>
      <c r="D505" t="s">
        <v>2301</v>
      </c>
      <c r="E505" t="s">
        <v>266</v>
      </c>
      <c r="F505">
        <v>2</v>
      </c>
      <c r="G505" t="s">
        <v>2314</v>
      </c>
      <c r="H505" t="s">
        <v>2315</v>
      </c>
      <c r="I505" t="s">
        <v>1142</v>
      </c>
      <c r="J505" t="s">
        <v>542</v>
      </c>
      <c r="K505">
        <v>12340.9</v>
      </c>
      <c r="L505">
        <v>200</v>
      </c>
      <c r="M505" t="s">
        <v>543</v>
      </c>
      <c r="N505" t="s">
        <v>544</v>
      </c>
      <c r="O505">
        <v>155.52000000000001</v>
      </c>
      <c r="P505">
        <v>12540.9</v>
      </c>
      <c r="R505" t="s">
        <v>2316</v>
      </c>
      <c r="S505">
        <v>5</v>
      </c>
      <c r="T505" t="s">
        <v>616</v>
      </c>
      <c r="U505" t="s">
        <v>547</v>
      </c>
      <c r="V505">
        <v>1609.68</v>
      </c>
      <c r="W505">
        <v>1893.75</v>
      </c>
      <c r="X505">
        <v>1609.68</v>
      </c>
      <c r="Z505" t="s">
        <v>617</v>
      </c>
      <c r="AA505" t="s">
        <v>549</v>
      </c>
      <c r="AB505" t="s">
        <v>1142</v>
      </c>
      <c r="AC505" t="s">
        <v>550</v>
      </c>
      <c r="AD505" t="s">
        <v>551</v>
      </c>
      <c r="AE505" t="s">
        <v>264</v>
      </c>
      <c r="AF505" t="s">
        <v>2304</v>
      </c>
      <c r="AG505" t="s">
        <v>2305</v>
      </c>
      <c r="AH505" t="s">
        <v>2306</v>
      </c>
      <c r="AI505" t="s">
        <v>621</v>
      </c>
      <c r="AJ505" t="s">
        <v>2307</v>
      </c>
      <c r="AK505" t="s">
        <v>556</v>
      </c>
      <c r="AM505" t="s">
        <v>2308</v>
      </c>
      <c r="AN505" t="s">
        <v>558</v>
      </c>
      <c r="AO505" t="s">
        <v>265</v>
      </c>
      <c r="AP505" t="s">
        <v>2309</v>
      </c>
      <c r="AQ505" t="s">
        <v>2310</v>
      </c>
      <c r="AR505" t="s">
        <v>2311</v>
      </c>
      <c r="AS505" t="s">
        <v>264</v>
      </c>
      <c r="AT505" t="s">
        <v>2304</v>
      </c>
      <c r="AU505" t="s">
        <v>2305</v>
      </c>
      <c r="AV505" t="s">
        <v>2306</v>
      </c>
      <c r="AW505" t="s">
        <v>621</v>
      </c>
      <c r="AX505" t="s">
        <v>2307</v>
      </c>
      <c r="AY505" t="s">
        <v>556</v>
      </c>
      <c r="BA505" t="s">
        <v>2308</v>
      </c>
      <c r="BB505" t="s">
        <v>558</v>
      </c>
      <c r="BC505" t="s">
        <v>265</v>
      </c>
      <c r="BD505" t="s">
        <v>2311</v>
      </c>
      <c r="BH505" t="s">
        <v>2278</v>
      </c>
      <c r="BI505" t="s">
        <v>2279</v>
      </c>
      <c r="BL505" t="s">
        <v>562</v>
      </c>
      <c r="BM505" t="s">
        <v>2317</v>
      </c>
      <c r="BN505">
        <v>1</v>
      </c>
      <c r="BO505">
        <v>122.19</v>
      </c>
      <c r="BP505">
        <v>20</v>
      </c>
      <c r="BQ505">
        <v>33.33</v>
      </c>
      <c r="BR505" t="s">
        <v>549</v>
      </c>
    </row>
    <row r="506" spans="1:70">
      <c r="A506" t="s">
        <v>2313</v>
      </c>
      <c r="B506" t="s">
        <v>264</v>
      </c>
      <c r="C506" t="s">
        <v>2300</v>
      </c>
      <c r="D506" t="s">
        <v>2301</v>
      </c>
      <c r="E506" t="s">
        <v>266</v>
      </c>
      <c r="F506">
        <v>2</v>
      </c>
      <c r="H506" t="s">
        <v>2315</v>
      </c>
      <c r="R506" t="s">
        <v>2316</v>
      </c>
      <c r="S506">
        <v>2</v>
      </c>
      <c r="T506" t="s">
        <v>953</v>
      </c>
      <c r="U506" t="s">
        <v>547</v>
      </c>
      <c r="V506">
        <v>2146.25</v>
      </c>
      <c r="W506">
        <v>2146.25</v>
      </c>
      <c r="Z506" t="s">
        <v>954</v>
      </c>
      <c r="AA506" t="s">
        <v>549</v>
      </c>
      <c r="AB506" t="s">
        <v>1142</v>
      </c>
      <c r="AC506" t="s">
        <v>550</v>
      </c>
      <c r="AD506" t="s">
        <v>551</v>
      </c>
      <c r="BR506" t="s">
        <v>549</v>
      </c>
    </row>
    <row r="507" spans="1:70">
      <c r="A507" t="s">
        <v>2318</v>
      </c>
      <c r="B507" t="s">
        <v>264</v>
      </c>
      <c r="C507" t="s">
        <v>2300</v>
      </c>
      <c r="D507" t="s">
        <v>2301</v>
      </c>
      <c r="E507" t="s">
        <v>266</v>
      </c>
      <c r="F507">
        <v>1</v>
      </c>
      <c r="G507" t="s">
        <v>2314</v>
      </c>
      <c r="H507" t="s">
        <v>2319</v>
      </c>
      <c r="I507" t="s">
        <v>1142</v>
      </c>
      <c r="J507" t="s">
        <v>542</v>
      </c>
      <c r="K507">
        <v>10731.22</v>
      </c>
      <c r="L507">
        <v>200</v>
      </c>
      <c r="M507" t="s">
        <v>543</v>
      </c>
      <c r="N507" t="s">
        <v>544</v>
      </c>
      <c r="O507">
        <v>139.58000000000001</v>
      </c>
      <c r="P507">
        <v>10931.22</v>
      </c>
      <c r="R507" t="s">
        <v>2320</v>
      </c>
      <c r="S507">
        <v>4</v>
      </c>
      <c r="T507" t="s">
        <v>616</v>
      </c>
      <c r="U507" t="s">
        <v>547</v>
      </c>
      <c r="V507">
        <v>1609.68</v>
      </c>
      <c r="W507">
        <v>1893.75</v>
      </c>
      <c r="X507">
        <v>1609.68</v>
      </c>
      <c r="Z507" t="s">
        <v>617</v>
      </c>
      <c r="AA507" t="s">
        <v>549</v>
      </c>
      <c r="AB507" t="s">
        <v>1142</v>
      </c>
      <c r="AC507" t="s">
        <v>550</v>
      </c>
      <c r="AD507" t="s">
        <v>551</v>
      </c>
      <c r="AE507" t="s">
        <v>264</v>
      </c>
      <c r="AF507" t="s">
        <v>2304</v>
      </c>
      <c r="AG507" t="s">
        <v>2305</v>
      </c>
      <c r="AH507" t="s">
        <v>2306</v>
      </c>
      <c r="AI507" t="s">
        <v>621</v>
      </c>
      <c r="AJ507" t="s">
        <v>2307</v>
      </c>
      <c r="AK507" t="s">
        <v>556</v>
      </c>
      <c r="AM507" t="s">
        <v>2308</v>
      </c>
      <c r="AN507" t="s">
        <v>558</v>
      </c>
      <c r="AO507" t="s">
        <v>265</v>
      </c>
      <c r="AP507" t="s">
        <v>2309</v>
      </c>
      <c r="AQ507" t="s">
        <v>2321</v>
      </c>
      <c r="AR507" t="s">
        <v>2311</v>
      </c>
      <c r="AS507" t="s">
        <v>264</v>
      </c>
      <c r="AT507" t="s">
        <v>2304</v>
      </c>
      <c r="AU507" t="s">
        <v>2305</v>
      </c>
      <c r="AV507" t="s">
        <v>2306</v>
      </c>
      <c r="AW507" t="s">
        <v>621</v>
      </c>
      <c r="AX507" t="s">
        <v>2307</v>
      </c>
      <c r="AY507" t="s">
        <v>556</v>
      </c>
      <c r="BA507" t="s">
        <v>2308</v>
      </c>
      <c r="BB507" t="s">
        <v>558</v>
      </c>
      <c r="BC507" t="s">
        <v>265</v>
      </c>
      <c r="BD507" t="s">
        <v>2311</v>
      </c>
      <c r="BH507" t="s">
        <v>2278</v>
      </c>
      <c r="BI507" t="s">
        <v>2279</v>
      </c>
      <c r="BL507" t="s">
        <v>562</v>
      </c>
      <c r="BM507" t="s">
        <v>2322</v>
      </c>
      <c r="BN507">
        <v>1</v>
      </c>
      <c r="BO507">
        <v>106.25</v>
      </c>
      <c r="BP507">
        <v>20</v>
      </c>
      <c r="BQ507">
        <v>33.33</v>
      </c>
      <c r="BR507" t="s">
        <v>549</v>
      </c>
    </row>
    <row r="508" spans="1:70">
      <c r="A508" t="s">
        <v>2318</v>
      </c>
      <c r="B508" t="s">
        <v>264</v>
      </c>
      <c r="C508" t="s">
        <v>2300</v>
      </c>
      <c r="D508" t="s">
        <v>2301</v>
      </c>
      <c r="E508" t="s">
        <v>266</v>
      </c>
      <c r="F508">
        <v>1</v>
      </c>
      <c r="H508" t="s">
        <v>2319</v>
      </c>
      <c r="R508" t="s">
        <v>2320</v>
      </c>
      <c r="S508">
        <v>2</v>
      </c>
      <c r="T508" t="s">
        <v>953</v>
      </c>
      <c r="U508" t="s">
        <v>547</v>
      </c>
      <c r="V508">
        <v>2146.25</v>
      </c>
      <c r="W508">
        <v>2146.25</v>
      </c>
      <c r="Z508" t="s">
        <v>954</v>
      </c>
      <c r="AA508" t="s">
        <v>549</v>
      </c>
      <c r="AB508" t="s">
        <v>1142</v>
      </c>
      <c r="AC508" t="s">
        <v>550</v>
      </c>
      <c r="AD508" t="s">
        <v>551</v>
      </c>
      <c r="BR508" t="s">
        <v>549</v>
      </c>
    </row>
    <row r="509" spans="1:70">
      <c r="A509" t="s">
        <v>2323</v>
      </c>
      <c r="B509" t="s">
        <v>405</v>
      </c>
      <c r="C509" t="s">
        <v>2324</v>
      </c>
      <c r="D509" t="s">
        <v>2301</v>
      </c>
      <c r="E509" t="s">
        <v>406</v>
      </c>
      <c r="F509">
        <v>1</v>
      </c>
      <c r="G509" t="s">
        <v>2314</v>
      </c>
      <c r="H509" t="s">
        <v>2325</v>
      </c>
      <c r="I509" t="s">
        <v>1142</v>
      </c>
      <c r="J509" t="s">
        <v>542</v>
      </c>
      <c r="K509">
        <v>6438.75</v>
      </c>
      <c r="L509">
        <v>400</v>
      </c>
      <c r="M509" t="s">
        <v>570</v>
      </c>
      <c r="N509" t="s">
        <v>544</v>
      </c>
      <c r="O509">
        <v>130.41999999999999</v>
      </c>
      <c r="P509">
        <v>6838.75</v>
      </c>
      <c r="R509" t="s">
        <v>2326</v>
      </c>
      <c r="S509">
        <v>3</v>
      </c>
      <c r="T509" t="s">
        <v>953</v>
      </c>
      <c r="U509" t="s">
        <v>547</v>
      </c>
      <c r="V509">
        <v>2146.25</v>
      </c>
      <c r="W509">
        <v>2146.25</v>
      </c>
      <c r="Z509" t="s">
        <v>954</v>
      </c>
      <c r="AA509" t="s">
        <v>549</v>
      </c>
      <c r="AB509" t="s">
        <v>1142</v>
      </c>
      <c r="AC509" t="s">
        <v>550</v>
      </c>
      <c r="AD509" t="s">
        <v>551</v>
      </c>
      <c r="AE509" t="s">
        <v>405</v>
      </c>
      <c r="AF509" t="s">
        <v>2327</v>
      </c>
      <c r="AG509" t="s">
        <v>2305</v>
      </c>
      <c r="AH509" t="s">
        <v>2306</v>
      </c>
      <c r="AI509" t="s">
        <v>621</v>
      </c>
      <c r="AJ509" t="s">
        <v>2307</v>
      </c>
      <c r="AK509" t="s">
        <v>556</v>
      </c>
      <c r="AM509" t="s">
        <v>2308</v>
      </c>
      <c r="AN509" t="s">
        <v>558</v>
      </c>
      <c r="AO509" t="s">
        <v>265</v>
      </c>
      <c r="AP509" t="s">
        <v>2309</v>
      </c>
      <c r="AQ509" t="s">
        <v>2310</v>
      </c>
      <c r="AR509" t="s">
        <v>2311</v>
      </c>
      <c r="AS509" t="s">
        <v>405</v>
      </c>
      <c r="AT509" t="s">
        <v>2327</v>
      </c>
      <c r="AU509" t="s">
        <v>2305</v>
      </c>
      <c r="AV509" t="s">
        <v>2306</v>
      </c>
      <c r="AW509" t="s">
        <v>621</v>
      </c>
      <c r="AY509" t="s">
        <v>556</v>
      </c>
      <c r="BA509" t="s">
        <v>2308</v>
      </c>
      <c r="BB509" t="s">
        <v>558</v>
      </c>
      <c r="BC509" t="s">
        <v>265</v>
      </c>
      <c r="BD509" t="s">
        <v>2311</v>
      </c>
      <c r="BH509" t="s">
        <v>2278</v>
      </c>
      <c r="BI509" t="s">
        <v>2279</v>
      </c>
      <c r="BL509" t="s">
        <v>562</v>
      </c>
      <c r="BM509" t="s">
        <v>2328</v>
      </c>
      <c r="BN509">
        <v>1</v>
      </c>
      <c r="BO509">
        <v>63.75</v>
      </c>
      <c r="BP509">
        <v>20</v>
      </c>
      <c r="BQ509">
        <v>66.67</v>
      </c>
      <c r="BR509" t="s">
        <v>549</v>
      </c>
    </row>
    <row r="510" spans="1:70">
      <c r="A510" t="s">
        <v>2329</v>
      </c>
      <c r="B510" t="s">
        <v>271</v>
      </c>
      <c r="C510" t="s">
        <v>2330</v>
      </c>
      <c r="D510" t="s">
        <v>2331</v>
      </c>
      <c r="E510" t="s">
        <v>273</v>
      </c>
      <c r="F510">
        <v>1</v>
      </c>
      <c r="G510" t="s">
        <v>539</v>
      </c>
      <c r="H510" t="s">
        <v>2332</v>
      </c>
      <c r="I510" t="s">
        <v>748</v>
      </c>
      <c r="J510" t="s">
        <v>542</v>
      </c>
      <c r="K510">
        <v>6186.25</v>
      </c>
      <c r="L510">
        <v>400</v>
      </c>
      <c r="M510" t="s">
        <v>570</v>
      </c>
      <c r="N510" t="s">
        <v>544</v>
      </c>
      <c r="O510">
        <v>127.92</v>
      </c>
      <c r="P510">
        <v>6586.25</v>
      </c>
      <c r="R510" t="s">
        <v>2333</v>
      </c>
      <c r="S510">
        <v>1</v>
      </c>
      <c r="T510" t="s">
        <v>628</v>
      </c>
      <c r="U510" t="s">
        <v>547</v>
      </c>
      <c r="V510">
        <v>6186.25</v>
      </c>
      <c r="W510">
        <v>6186.25</v>
      </c>
      <c r="Z510" t="s">
        <v>629</v>
      </c>
      <c r="AA510" t="s">
        <v>549</v>
      </c>
      <c r="AB510" t="s">
        <v>748</v>
      </c>
      <c r="AC510" t="s">
        <v>550</v>
      </c>
      <c r="AD510" t="s">
        <v>551</v>
      </c>
      <c r="AE510" t="s">
        <v>271</v>
      </c>
      <c r="AF510" t="s">
        <v>2334</v>
      </c>
      <c r="AG510" t="s">
        <v>2335</v>
      </c>
      <c r="AI510" t="s">
        <v>2336</v>
      </c>
      <c r="AJ510" t="s">
        <v>2337</v>
      </c>
      <c r="AK510" t="s">
        <v>556</v>
      </c>
      <c r="AM510" t="s">
        <v>2338</v>
      </c>
      <c r="AN510" t="s">
        <v>558</v>
      </c>
      <c r="AO510" t="s">
        <v>272</v>
      </c>
      <c r="AP510" t="s">
        <v>549</v>
      </c>
      <c r="AQ510" t="s">
        <v>549</v>
      </c>
      <c r="AR510" t="s">
        <v>2339</v>
      </c>
      <c r="AS510" t="s">
        <v>271</v>
      </c>
      <c r="AT510" t="s">
        <v>2334</v>
      </c>
      <c r="AU510" t="s">
        <v>2335</v>
      </c>
      <c r="AW510" t="s">
        <v>2336</v>
      </c>
      <c r="AX510" t="s">
        <v>2337</v>
      </c>
      <c r="AY510" t="s">
        <v>556</v>
      </c>
      <c r="BA510" t="s">
        <v>2338</v>
      </c>
      <c r="BB510" t="s">
        <v>558</v>
      </c>
      <c r="BC510" t="s">
        <v>272</v>
      </c>
      <c r="BD510" t="s">
        <v>2339</v>
      </c>
      <c r="BH510" t="s">
        <v>560</v>
      </c>
      <c r="BI510" t="s">
        <v>561</v>
      </c>
      <c r="BK510" t="s">
        <v>607</v>
      </c>
      <c r="BL510" t="s">
        <v>562</v>
      </c>
      <c r="BM510" t="s">
        <v>2340</v>
      </c>
      <c r="BN510">
        <v>1</v>
      </c>
      <c r="BO510">
        <v>61.25</v>
      </c>
      <c r="BP510">
        <v>20</v>
      </c>
      <c r="BQ510">
        <v>66.67</v>
      </c>
      <c r="BR510" t="s">
        <v>549</v>
      </c>
    </row>
    <row r="511" spans="1:70">
      <c r="A511" t="s">
        <v>2341</v>
      </c>
      <c r="B511" t="s">
        <v>307</v>
      </c>
      <c r="C511" t="s">
        <v>883</v>
      </c>
      <c r="D511" t="s">
        <v>884</v>
      </c>
      <c r="E511" t="s">
        <v>400</v>
      </c>
      <c r="F511">
        <v>1</v>
      </c>
      <c r="G511" t="s">
        <v>539</v>
      </c>
      <c r="H511" t="s">
        <v>2342</v>
      </c>
      <c r="I511" t="s">
        <v>748</v>
      </c>
      <c r="J511" t="s">
        <v>542</v>
      </c>
      <c r="K511">
        <v>31388.85</v>
      </c>
      <c r="L511">
        <v>0</v>
      </c>
      <c r="M511" t="s">
        <v>1708</v>
      </c>
      <c r="N511" t="s">
        <v>544</v>
      </c>
      <c r="O511">
        <v>310.77999999999997</v>
      </c>
      <c r="P511">
        <v>31388.85</v>
      </c>
      <c r="R511" t="s">
        <v>2343</v>
      </c>
      <c r="S511">
        <v>15</v>
      </c>
      <c r="T511" t="s">
        <v>704</v>
      </c>
      <c r="U511" t="s">
        <v>547</v>
      </c>
      <c r="V511">
        <v>2092.59</v>
      </c>
      <c r="W511">
        <v>2461.88</v>
      </c>
      <c r="X511">
        <v>2092.59</v>
      </c>
      <c r="Z511" t="s">
        <v>705</v>
      </c>
      <c r="AA511" t="s">
        <v>549</v>
      </c>
      <c r="AB511" t="s">
        <v>748</v>
      </c>
      <c r="AC511" t="s">
        <v>550</v>
      </c>
      <c r="AD511" t="s">
        <v>551</v>
      </c>
      <c r="AE511" t="s">
        <v>307</v>
      </c>
      <c r="AF511" t="s">
        <v>887</v>
      </c>
      <c r="AG511" t="s">
        <v>1847</v>
      </c>
      <c r="AH511" t="s">
        <v>2344</v>
      </c>
      <c r="AI511" t="s">
        <v>688</v>
      </c>
      <c r="AJ511" t="s">
        <v>776</v>
      </c>
      <c r="AK511" t="s">
        <v>556</v>
      </c>
      <c r="AM511" t="s">
        <v>777</v>
      </c>
      <c r="AN511" t="s">
        <v>558</v>
      </c>
      <c r="AO511" t="s">
        <v>1848</v>
      </c>
      <c r="AP511" t="s">
        <v>888</v>
      </c>
      <c r="AQ511" t="s">
        <v>2345</v>
      </c>
      <c r="AR511" t="s">
        <v>888</v>
      </c>
      <c r="AS511" t="s">
        <v>307</v>
      </c>
      <c r="AT511" t="s">
        <v>887</v>
      </c>
      <c r="AU511" t="s">
        <v>1847</v>
      </c>
      <c r="AV511" t="s">
        <v>2344</v>
      </c>
      <c r="AW511" t="s">
        <v>688</v>
      </c>
      <c r="AX511" t="s">
        <v>776</v>
      </c>
      <c r="AY511" t="s">
        <v>556</v>
      </c>
      <c r="BA511" t="s">
        <v>777</v>
      </c>
      <c r="BB511" t="s">
        <v>558</v>
      </c>
      <c r="BC511" t="s">
        <v>1848</v>
      </c>
      <c r="BD511" t="s">
        <v>888</v>
      </c>
      <c r="BH511" t="s">
        <v>560</v>
      </c>
      <c r="BI511" t="s">
        <v>561</v>
      </c>
      <c r="BK511" t="s">
        <v>607</v>
      </c>
      <c r="BL511" t="s">
        <v>562</v>
      </c>
      <c r="BM511" t="s">
        <v>2346</v>
      </c>
      <c r="BN511">
        <v>1</v>
      </c>
      <c r="BO511">
        <v>310.77999999999997</v>
      </c>
      <c r="BR511" t="s">
        <v>549</v>
      </c>
    </row>
    <row r="512" spans="1:70">
      <c r="A512" t="s">
        <v>2347</v>
      </c>
      <c r="B512" t="s">
        <v>407</v>
      </c>
      <c r="C512" t="s">
        <v>2348</v>
      </c>
      <c r="D512" t="s">
        <v>2348</v>
      </c>
      <c r="E512" t="s">
        <v>408</v>
      </c>
      <c r="F512">
        <v>1</v>
      </c>
      <c r="G512" t="s">
        <v>539</v>
      </c>
      <c r="H512" t="s">
        <v>2349</v>
      </c>
      <c r="I512" t="s">
        <v>748</v>
      </c>
      <c r="J512" t="s">
        <v>542</v>
      </c>
      <c r="K512">
        <v>1893.75</v>
      </c>
      <c r="L512">
        <v>0</v>
      </c>
      <c r="M512" t="s">
        <v>570</v>
      </c>
      <c r="N512" t="s">
        <v>544</v>
      </c>
      <c r="O512">
        <v>0.19</v>
      </c>
      <c r="P512">
        <v>18.940000000000001</v>
      </c>
      <c r="R512" t="s">
        <v>2350</v>
      </c>
      <c r="S512">
        <v>1</v>
      </c>
      <c r="T512" t="s">
        <v>616</v>
      </c>
      <c r="U512" t="s">
        <v>547</v>
      </c>
      <c r="V512">
        <v>18.940000000000001</v>
      </c>
      <c r="W512">
        <v>1893.75</v>
      </c>
      <c r="Z512" t="s">
        <v>617</v>
      </c>
      <c r="AA512" t="s">
        <v>549</v>
      </c>
      <c r="AB512" t="s">
        <v>748</v>
      </c>
      <c r="AC512" t="s">
        <v>550</v>
      </c>
      <c r="AD512" t="s">
        <v>551</v>
      </c>
      <c r="AE512" t="s">
        <v>407</v>
      </c>
      <c r="AF512" t="s">
        <v>2348</v>
      </c>
      <c r="AG512" t="s">
        <v>2348</v>
      </c>
      <c r="AI512" t="s">
        <v>803</v>
      </c>
      <c r="AJ512" t="s">
        <v>2351</v>
      </c>
      <c r="AK512" t="s">
        <v>556</v>
      </c>
      <c r="AM512" t="s">
        <v>2352</v>
      </c>
      <c r="AN512" t="s">
        <v>558</v>
      </c>
      <c r="AO512" t="s">
        <v>2353</v>
      </c>
      <c r="AP512" t="s">
        <v>549</v>
      </c>
      <c r="AQ512" t="s">
        <v>549</v>
      </c>
      <c r="AR512" t="s">
        <v>2354</v>
      </c>
      <c r="AS512" t="s">
        <v>407</v>
      </c>
      <c r="AT512" t="s">
        <v>2348</v>
      </c>
      <c r="AU512" t="s">
        <v>2348</v>
      </c>
      <c r="AW512" t="s">
        <v>803</v>
      </c>
      <c r="AX512" t="s">
        <v>2351</v>
      </c>
      <c r="AY512" t="s">
        <v>556</v>
      </c>
      <c r="BA512" t="s">
        <v>2352</v>
      </c>
      <c r="BB512" t="s">
        <v>558</v>
      </c>
      <c r="BC512" t="s">
        <v>2353</v>
      </c>
      <c r="BD512" t="s">
        <v>2354</v>
      </c>
      <c r="BH512" t="s">
        <v>560</v>
      </c>
      <c r="BI512" t="s">
        <v>561</v>
      </c>
      <c r="BK512" t="s">
        <v>607</v>
      </c>
      <c r="BL512" t="s">
        <v>562</v>
      </c>
      <c r="BM512" t="s">
        <v>2355</v>
      </c>
      <c r="BN512">
        <v>1</v>
      </c>
      <c r="BO512">
        <v>0.19</v>
      </c>
      <c r="BR512" t="s">
        <v>2356</v>
      </c>
    </row>
    <row r="513" spans="1:70">
      <c r="A513" t="s">
        <v>2357</v>
      </c>
      <c r="B513" t="s">
        <v>409</v>
      </c>
      <c r="C513" t="s">
        <v>2358</v>
      </c>
      <c r="D513" t="s">
        <v>2359</v>
      </c>
      <c r="E513" t="s">
        <v>410</v>
      </c>
      <c r="F513">
        <v>3</v>
      </c>
      <c r="G513" t="s">
        <v>2314</v>
      </c>
      <c r="H513" t="s">
        <v>2360</v>
      </c>
      <c r="I513" t="s">
        <v>1142</v>
      </c>
      <c r="J513" t="s">
        <v>542</v>
      </c>
      <c r="K513">
        <v>656.5</v>
      </c>
      <c r="L513">
        <v>400</v>
      </c>
      <c r="M513" t="s">
        <v>570</v>
      </c>
      <c r="N513" t="s">
        <v>544</v>
      </c>
      <c r="O513">
        <v>73.040000000000006</v>
      </c>
      <c r="P513">
        <v>1043.3699999999999</v>
      </c>
      <c r="R513" t="s">
        <v>2360</v>
      </c>
      <c r="S513">
        <v>1</v>
      </c>
      <c r="T513" t="s">
        <v>818</v>
      </c>
      <c r="U513" t="s">
        <v>547</v>
      </c>
      <c r="V513">
        <v>643.37</v>
      </c>
      <c r="W513">
        <v>656.5</v>
      </c>
      <c r="Z513" t="s">
        <v>819</v>
      </c>
      <c r="AA513" t="s">
        <v>549</v>
      </c>
      <c r="AB513" t="s">
        <v>1142</v>
      </c>
      <c r="AC513" t="s">
        <v>550</v>
      </c>
      <c r="AD513" t="s">
        <v>551</v>
      </c>
      <c r="AE513" t="s">
        <v>2361</v>
      </c>
      <c r="AF513" t="s">
        <v>2362</v>
      </c>
      <c r="AG513" t="s">
        <v>2363</v>
      </c>
      <c r="AI513" t="s">
        <v>966</v>
      </c>
      <c r="AJ513" t="s">
        <v>2364</v>
      </c>
      <c r="AK513" t="s">
        <v>556</v>
      </c>
      <c r="AM513" t="s">
        <v>2365</v>
      </c>
      <c r="AN513" t="s">
        <v>558</v>
      </c>
      <c r="AO513" t="s">
        <v>2366</v>
      </c>
      <c r="AP513" t="s">
        <v>549</v>
      </c>
      <c r="AQ513" t="s">
        <v>549</v>
      </c>
      <c r="AR513" t="s">
        <v>2367</v>
      </c>
      <c r="AS513" t="s">
        <v>2361</v>
      </c>
      <c r="AT513" t="s">
        <v>2362</v>
      </c>
      <c r="AU513" t="s">
        <v>2363</v>
      </c>
      <c r="AW513" t="s">
        <v>966</v>
      </c>
      <c r="AX513" t="s">
        <v>2364</v>
      </c>
      <c r="AY513" t="s">
        <v>556</v>
      </c>
      <c r="BA513" t="s">
        <v>2365</v>
      </c>
      <c r="BB513" t="s">
        <v>558</v>
      </c>
      <c r="BC513" t="s">
        <v>2366</v>
      </c>
      <c r="BD513" t="s">
        <v>2367</v>
      </c>
      <c r="BH513" t="s">
        <v>2278</v>
      </c>
      <c r="BI513" t="s">
        <v>2279</v>
      </c>
      <c r="BL513" t="s">
        <v>562</v>
      </c>
      <c r="BM513" t="s">
        <v>2368</v>
      </c>
      <c r="BN513">
        <v>1</v>
      </c>
      <c r="BO513">
        <v>6.37</v>
      </c>
      <c r="BP513">
        <v>20</v>
      </c>
      <c r="BQ513">
        <v>66.67</v>
      </c>
      <c r="BR513" t="s">
        <v>549</v>
      </c>
    </row>
    <row r="514" spans="1:70">
      <c r="A514" t="s">
        <v>2369</v>
      </c>
      <c r="B514" t="s">
        <v>411</v>
      </c>
      <c r="C514" t="s">
        <v>2370</v>
      </c>
      <c r="D514" t="s">
        <v>2370</v>
      </c>
      <c r="E514" t="s">
        <v>412</v>
      </c>
      <c r="F514">
        <v>1</v>
      </c>
      <c r="G514" t="s">
        <v>2314</v>
      </c>
      <c r="H514" t="s">
        <v>2371</v>
      </c>
      <c r="I514" t="s">
        <v>1142</v>
      </c>
      <c r="J514" t="s">
        <v>542</v>
      </c>
      <c r="K514">
        <v>2493.44</v>
      </c>
      <c r="L514">
        <v>400</v>
      </c>
      <c r="M514" t="s">
        <v>570</v>
      </c>
      <c r="N514" t="s">
        <v>544</v>
      </c>
      <c r="O514">
        <v>90.86</v>
      </c>
      <c r="P514">
        <v>2843.57</v>
      </c>
      <c r="R514" t="s">
        <v>2372</v>
      </c>
      <c r="S514">
        <v>1</v>
      </c>
      <c r="T514" t="s">
        <v>1033</v>
      </c>
      <c r="U514" t="s">
        <v>547</v>
      </c>
      <c r="V514">
        <v>2443.5700000000002</v>
      </c>
      <c r="W514">
        <v>2493.44</v>
      </c>
      <c r="Z514" t="s">
        <v>1034</v>
      </c>
      <c r="AA514" t="s">
        <v>549</v>
      </c>
      <c r="AB514" t="s">
        <v>1142</v>
      </c>
      <c r="AC514" t="s">
        <v>550</v>
      </c>
      <c r="AD514" t="s">
        <v>551</v>
      </c>
      <c r="AE514" t="s">
        <v>411</v>
      </c>
      <c r="AF514" t="s">
        <v>411</v>
      </c>
      <c r="AG514" t="s">
        <v>2370</v>
      </c>
      <c r="AI514" t="s">
        <v>577</v>
      </c>
      <c r="AJ514" t="s">
        <v>1500</v>
      </c>
      <c r="AK514" t="s">
        <v>556</v>
      </c>
      <c r="AM514" t="s">
        <v>2373</v>
      </c>
      <c r="AN514" t="s">
        <v>558</v>
      </c>
      <c r="AO514" t="s">
        <v>2353</v>
      </c>
      <c r="AP514" t="s">
        <v>549</v>
      </c>
      <c r="AQ514" t="s">
        <v>549</v>
      </c>
      <c r="AR514" t="s">
        <v>2374</v>
      </c>
      <c r="AS514" t="s">
        <v>411</v>
      </c>
      <c r="AT514" t="s">
        <v>411</v>
      </c>
      <c r="AU514" t="s">
        <v>2370</v>
      </c>
      <c r="AW514" t="s">
        <v>577</v>
      </c>
      <c r="AX514" t="s">
        <v>1500</v>
      </c>
      <c r="AY514" t="s">
        <v>556</v>
      </c>
      <c r="BA514" t="s">
        <v>2373</v>
      </c>
      <c r="BB514" t="s">
        <v>558</v>
      </c>
      <c r="BC514" t="s">
        <v>2353</v>
      </c>
      <c r="BD514" t="s">
        <v>2374</v>
      </c>
      <c r="BH514" t="s">
        <v>2278</v>
      </c>
      <c r="BI514" t="s">
        <v>2279</v>
      </c>
      <c r="BL514" t="s">
        <v>562</v>
      </c>
      <c r="BM514" t="s">
        <v>2375</v>
      </c>
      <c r="BN514">
        <v>1</v>
      </c>
      <c r="BO514">
        <v>24.19</v>
      </c>
      <c r="BP514">
        <v>20</v>
      </c>
      <c r="BQ514">
        <v>66.67</v>
      </c>
      <c r="BR514" t="s">
        <v>549</v>
      </c>
    </row>
    <row r="515" spans="1:70">
      <c r="A515" t="s">
        <v>2376</v>
      </c>
      <c r="B515" t="s">
        <v>409</v>
      </c>
      <c r="C515" t="s">
        <v>2358</v>
      </c>
      <c r="D515" t="s">
        <v>2359</v>
      </c>
      <c r="E515" t="s">
        <v>410</v>
      </c>
      <c r="F515">
        <v>2</v>
      </c>
      <c r="G515" t="s">
        <v>539</v>
      </c>
      <c r="H515" t="s">
        <v>2377</v>
      </c>
      <c r="I515" t="s">
        <v>748</v>
      </c>
      <c r="J515" t="s">
        <v>542</v>
      </c>
      <c r="K515">
        <v>5965.32</v>
      </c>
      <c r="L515">
        <v>400</v>
      </c>
      <c r="M515" t="s">
        <v>570</v>
      </c>
      <c r="N515" t="s">
        <v>544</v>
      </c>
      <c r="O515">
        <v>124.55</v>
      </c>
      <c r="P515">
        <v>6246.01</v>
      </c>
      <c r="R515" t="s">
        <v>2377</v>
      </c>
      <c r="S515">
        <v>3</v>
      </c>
      <c r="T515" t="s">
        <v>2378</v>
      </c>
      <c r="U515" t="s">
        <v>547</v>
      </c>
      <c r="V515">
        <v>1948.67</v>
      </c>
      <c r="W515">
        <v>1988.44</v>
      </c>
      <c r="Z515" t="s">
        <v>934</v>
      </c>
      <c r="AA515" t="s">
        <v>549</v>
      </c>
      <c r="AB515" t="s">
        <v>748</v>
      </c>
      <c r="AC515" t="s">
        <v>550</v>
      </c>
      <c r="AD515" t="s">
        <v>551</v>
      </c>
      <c r="AE515" t="s">
        <v>2361</v>
      </c>
      <c r="AF515" t="s">
        <v>2362</v>
      </c>
      <c r="AG515" t="s">
        <v>2363</v>
      </c>
      <c r="AI515" t="s">
        <v>966</v>
      </c>
      <c r="AJ515" t="s">
        <v>2364</v>
      </c>
      <c r="AK515" t="s">
        <v>556</v>
      </c>
      <c r="AM515" t="s">
        <v>2365</v>
      </c>
      <c r="AN515" t="s">
        <v>558</v>
      </c>
      <c r="AO515" t="s">
        <v>2366</v>
      </c>
      <c r="AP515" t="s">
        <v>549</v>
      </c>
      <c r="AQ515" t="s">
        <v>549</v>
      </c>
      <c r="AR515" t="s">
        <v>549</v>
      </c>
      <c r="AS515" t="s">
        <v>2361</v>
      </c>
      <c r="AT515" t="s">
        <v>2362</v>
      </c>
      <c r="AU515" t="s">
        <v>2363</v>
      </c>
      <c r="AW515" t="s">
        <v>966</v>
      </c>
      <c r="AX515" t="s">
        <v>2364</v>
      </c>
      <c r="AY515" t="s">
        <v>556</v>
      </c>
      <c r="BA515" t="s">
        <v>2365</v>
      </c>
      <c r="BB515" t="s">
        <v>558</v>
      </c>
      <c r="BC515" t="s">
        <v>2366</v>
      </c>
      <c r="BD515" t="s">
        <v>549</v>
      </c>
      <c r="BH515" t="s">
        <v>2278</v>
      </c>
      <c r="BI515" t="s">
        <v>2279</v>
      </c>
      <c r="BK515" t="s">
        <v>607</v>
      </c>
      <c r="BL515" t="s">
        <v>562</v>
      </c>
      <c r="BM515" t="s">
        <v>2379</v>
      </c>
      <c r="BN515">
        <v>1</v>
      </c>
      <c r="BO515">
        <v>57.88</v>
      </c>
      <c r="BP515">
        <v>20</v>
      </c>
      <c r="BQ515">
        <v>66.67</v>
      </c>
      <c r="BR515" t="s">
        <v>549</v>
      </c>
    </row>
    <row r="516" spans="1:70">
      <c r="A516" t="s">
        <v>2380</v>
      </c>
      <c r="B516" t="s">
        <v>409</v>
      </c>
      <c r="C516" t="s">
        <v>2358</v>
      </c>
      <c r="D516" t="s">
        <v>2359</v>
      </c>
      <c r="E516" t="s">
        <v>410</v>
      </c>
      <c r="F516">
        <v>1</v>
      </c>
      <c r="G516" t="s">
        <v>539</v>
      </c>
      <c r="H516" t="s">
        <v>2381</v>
      </c>
      <c r="I516" t="s">
        <v>748</v>
      </c>
      <c r="J516" t="s">
        <v>542</v>
      </c>
      <c r="K516">
        <v>5965.32</v>
      </c>
      <c r="L516">
        <v>400</v>
      </c>
      <c r="M516" t="s">
        <v>570</v>
      </c>
      <c r="N516" t="s">
        <v>544</v>
      </c>
      <c r="O516">
        <v>124.55</v>
      </c>
      <c r="P516">
        <v>6246.01</v>
      </c>
      <c r="R516" t="s">
        <v>2382</v>
      </c>
      <c r="S516">
        <v>3</v>
      </c>
      <c r="T516" t="s">
        <v>2378</v>
      </c>
      <c r="U516" t="s">
        <v>547</v>
      </c>
      <c r="V516">
        <v>1948.67</v>
      </c>
      <c r="W516">
        <v>1988.44</v>
      </c>
      <c r="Z516" t="s">
        <v>934</v>
      </c>
      <c r="AA516" t="s">
        <v>549</v>
      </c>
      <c r="AB516" t="s">
        <v>748</v>
      </c>
      <c r="AC516" t="s">
        <v>550</v>
      </c>
      <c r="AD516" t="s">
        <v>551</v>
      </c>
      <c r="AE516" t="s">
        <v>2361</v>
      </c>
      <c r="AF516" t="s">
        <v>2362</v>
      </c>
      <c r="AG516" t="s">
        <v>2363</v>
      </c>
      <c r="AI516" t="s">
        <v>966</v>
      </c>
      <c r="AJ516" t="s">
        <v>2364</v>
      </c>
      <c r="AK516" t="s">
        <v>556</v>
      </c>
      <c r="AM516" t="s">
        <v>2365</v>
      </c>
      <c r="AN516" t="s">
        <v>558</v>
      </c>
      <c r="AO516" t="s">
        <v>2366</v>
      </c>
      <c r="AP516" t="s">
        <v>549</v>
      </c>
      <c r="AQ516" t="s">
        <v>549</v>
      </c>
      <c r="AR516" t="s">
        <v>549</v>
      </c>
      <c r="AS516" t="s">
        <v>2361</v>
      </c>
      <c r="AT516" t="s">
        <v>2362</v>
      </c>
      <c r="AU516" t="s">
        <v>2363</v>
      </c>
      <c r="AW516" t="s">
        <v>966</v>
      </c>
      <c r="AX516" t="s">
        <v>2364</v>
      </c>
      <c r="AY516" t="s">
        <v>556</v>
      </c>
      <c r="BA516" t="s">
        <v>2365</v>
      </c>
      <c r="BB516" t="s">
        <v>558</v>
      </c>
      <c r="BC516" t="s">
        <v>2366</v>
      </c>
      <c r="BD516" t="s">
        <v>549</v>
      </c>
      <c r="BH516" t="s">
        <v>2278</v>
      </c>
      <c r="BI516" t="s">
        <v>2279</v>
      </c>
      <c r="BK516" t="s">
        <v>607</v>
      </c>
      <c r="BL516" t="s">
        <v>562</v>
      </c>
      <c r="BM516" t="s">
        <v>2383</v>
      </c>
      <c r="BN516">
        <v>1</v>
      </c>
      <c r="BO516">
        <v>57.88</v>
      </c>
      <c r="BP516">
        <v>20</v>
      </c>
      <c r="BQ516">
        <v>66.67</v>
      </c>
      <c r="BR516" t="s">
        <v>549</v>
      </c>
    </row>
    <row r="517" spans="1:70">
      <c r="A517" t="s">
        <v>2384</v>
      </c>
      <c r="B517" t="s">
        <v>409</v>
      </c>
      <c r="C517" t="s">
        <v>2358</v>
      </c>
      <c r="D517" t="s">
        <v>2359</v>
      </c>
      <c r="E517" t="s">
        <v>413</v>
      </c>
      <c r="F517">
        <v>7</v>
      </c>
      <c r="G517" t="s">
        <v>539</v>
      </c>
      <c r="H517" t="s">
        <v>2385</v>
      </c>
      <c r="I517" t="s">
        <v>748</v>
      </c>
      <c r="J517" t="s">
        <v>542</v>
      </c>
      <c r="K517">
        <v>12183.13</v>
      </c>
      <c r="N517" t="s">
        <v>544</v>
      </c>
      <c r="O517">
        <v>120.63</v>
      </c>
      <c r="P517">
        <v>12183.13</v>
      </c>
      <c r="R517" t="s">
        <v>2385</v>
      </c>
      <c r="S517">
        <v>1</v>
      </c>
      <c r="T517" t="s">
        <v>628</v>
      </c>
      <c r="U517" t="s">
        <v>547</v>
      </c>
      <c r="V517">
        <v>6186.25</v>
      </c>
      <c r="W517">
        <v>6186.25</v>
      </c>
      <c r="Z517" t="s">
        <v>629</v>
      </c>
      <c r="AA517" t="s">
        <v>549</v>
      </c>
      <c r="AB517" t="s">
        <v>748</v>
      </c>
      <c r="AC517" t="s">
        <v>550</v>
      </c>
      <c r="AD517" t="s">
        <v>551</v>
      </c>
      <c r="AE517" t="s">
        <v>409</v>
      </c>
      <c r="AF517" t="s">
        <v>2386</v>
      </c>
      <c r="AI517" t="s">
        <v>966</v>
      </c>
      <c r="AK517" t="s">
        <v>556</v>
      </c>
      <c r="AM517" t="s">
        <v>2365</v>
      </c>
      <c r="AN517" t="s">
        <v>558</v>
      </c>
      <c r="AO517" t="s">
        <v>2366</v>
      </c>
      <c r="AP517" t="s">
        <v>549</v>
      </c>
      <c r="AQ517" t="s">
        <v>549</v>
      </c>
      <c r="AR517" t="s">
        <v>2367</v>
      </c>
      <c r="AS517" t="s">
        <v>409</v>
      </c>
      <c r="AT517" t="s">
        <v>2386</v>
      </c>
      <c r="AW517" t="s">
        <v>966</v>
      </c>
      <c r="AY517" t="s">
        <v>556</v>
      </c>
      <c r="BA517" t="s">
        <v>2365</v>
      </c>
      <c r="BB517" t="s">
        <v>558</v>
      </c>
      <c r="BC517" t="s">
        <v>2366</v>
      </c>
      <c r="BD517" t="s">
        <v>2367</v>
      </c>
      <c r="BH517" t="s">
        <v>2278</v>
      </c>
      <c r="BI517" t="s">
        <v>2279</v>
      </c>
      <c r="BK517" t="s">
        <v>607</v>
      </c>
      <c r="BL517" t="s">
        <v>2387</v>
      </c>
      <c r="BM517" t="s">
        <v>2388</v>
      </c>
      <c r="BN517">
        <v>1</v>
      </c>
      <c r="BO517">
        <v>120.63</v>
      </c>
      <c r="BR517" t="s">
        <v>549</v>
      </c>
    </row>
    <row r="518" spans="1:70">
      <c r="A518" t="s">
        <v>2384</v>
      </c>
      <c r="B518" t="s">
        <v>409</v>
      </c>
      <c r="C518" t="s">
        <v>2358</v>
      </c>
      <c r="D518" t="s">
        <v>2359</v>
      </c>
      <c r="E518" t="s">
        <v>413</v>
      </c>
      <c r="F518">
        <v>7</v>
      </c>
      <c r="H518" t="s">
        <v>2385</v>
      </c>
      <c r="R518" t="s">
        <v>2385</v>
      </c>
      <c r="S518">
        <v>1</v>
      </c>
      <c r="T518" t="s">
        <v>572</v>
      </c>
      <c r="U518" t="s">
        <v>547</v>
      </c>
      <c r="V518">
        <v>5996.88</v>
      </c>
      <c r="W518">
        <v>5996.88</v>
      </c>
      <c r="Z518" t="s">
        <v>573</v>
      </c>
      <c r="AA518" t="s">
        <v>549</v>
      </c>
      <c r="AB518" t="s">
        <v>748</v>
      </c>
      <c r="AC518" t="s">
        <v>550</v>
      </c>
      <c r="AD518" t="s">
        <v>551</v>
      </c>
      <c r="BR518" t="s">
        <v>549</v>
      </c>
    </row>
    <row r="519" spans="1:70">
      <c r="A519" t="s">
        <v>2389</v>
      </c>
      <c r="B519" t="s">
        <v>409</v>
      </c>
      <c r="C519" t="s">
        <v>2358</v>
      </c>
      <c r="D519" t="s">
        <v>2359</v>
      </c>
      <c r="E519" t="s">
        <v>413</v>
      </c>
      <c r="F519">
        <v>6</v>
      </c>
      <c r="G519" t="s">
        <v>539</v>
      </c>
      <c r="H519" t="s">
        <v>2390</v>
      </c>
      <c r="I519" t="s">
        <v>541</v>
      </c>
      <c r="J519" t="s">
        <v>542</v>
      </c>
      <c r="K519">
        <v>0</v>
      </c>
      <c r="L519">
        <v>0</v>
      </c>
      <c r="M519" t="s">
        <v>543</v>
      </c>
      <c r="N519" t="s">
        <v>544</v>
      </c>
      <c r="P519">
        <v>0</v>
      </c>
      <c r="R519" t="s">
        <v>2390</v>
      </c>
      <c r="S519">
        <v>1</v>
      </c>
      <c r="T519" t="s">
        <v>2391</v>
      </c>
      <c r="U519" t="s">
        <v>547</v>
      </c>
      <c r="Z519" t="s">
        <v>2392</v>
      </c>
      <c r="AA519" t="s">
        <v>549</v>
      </c>
      <c r="AB519" t="s">
        <v>541</v>
      </c>
      <c r="AC519" t="s">
        <v>550</v>
      </c>
      <c r="AD519" t="s">
        <v>551</v>
      </c>
      <c r="AE519" t="s">
        <v>409</v>
      </c>
      <c r="AF519" t="s">
        <v>2386</v>
      </c>
      <c r="AI519" t="s">
        <v>966</v>
      </c>
      <c r="AK519" t="s">
        <v>556</v>
      </c>
      <c r="AM519" t="s">
        <v>2365</v>
      </c>
      <c r="AN519" t="s">
        <v>558</v>
      </c>
      <c r="AO519" t="s">
        <v>2366</v>
      </c>
      <c r="AP519" t="s">
        <v>549</v>
      </c>
      <c r="AQ519" t="s">
        <v>549</v>
      </c>
      <c r="AR519" t="s">
        <v>2367</v>
      </c>
      <c r="AS519" t="s">
        <v>409</v>
      </c>
      <c r="AT519" t="s">
        <v>2386</v>
      </c>
      <c r="AW519" t="s">
        <v>966</v>
      </c>
      <c r="AY519" t="s">
        <v>556</v>
      </c>
      <c r="BA519" t="s">
        <v>2365</v>
      </c>
      <c r="BB519" t="s">
        <v>558</v>
      </c>
      <c r="BC519" t="s">
        <v>2366</v>
      </c>
      <c r="BD519" t="s">
        <v>2367</v>
      </c>
      <c r="BH519" t="s">
        <v>2393</v>
      </c>
      <c r="BI519" t="s">
        <v>2394</v>
      </c>
      <c r="BK519" t="s">
        <v>607</v>
      </c>
      <c r="BL519" t="s">
        <v>2387</v>
      </c>
      <c r="BM519" t="s">
        <v>2395</v>
      </c>
      <c r="BR519" t="s">
        <v>549</v>
      </c>
    </row>
    <row r="520" spans="1:70">
      <c r="A520" t="s">
        <v>2389</v>
      </c>
      <c r="B520" t="s">
        <v>409</v>
      </c>
      <c r="C520" t="s">
        <v>2358</v>
      </c>
      <c r="D520" t="s">
        <v>2359</v>
      </c>
      <c r="E520" t="s">
        <v>413</v>
      </c>
      <c r="F520">
        <v>6</v>
      </c>
      <c r="H520" t="s">
        <v>2390</v>
      </c>
      <c r="R520" t="s">
        <v>2390</v>
      </c>
      <c r="S520">
        <v>1</v>
      </c>
      <c r="T520" t="s">
        <v>2396</v>
      </c>
      <c r="U520" t="s">
        <v>547</v>
      </c>
      <c r="Z520" t="s">
        <v>2397</v>
      </c>
      <c r="AA520" t="s">
        <v>549</v>
      </c>
      <c r="AB520" t="s">
        <v>541</v>
      </c>
      <c r="AC520" t="s">
        <v>550</v>
      </c>
      <c r="AD520" t="s">
        <v>551</v>
      </c>
      <c r="BR520" t="s">
        <v>549</v>
      </c>
    </row>
    <row r="521" spans="1:70">
      <c r="A521" t="s">
        <v>2398</v>
      </c>
      <c r="B521" t="s">
        <v>409</v>
      </c>
      <c r="C521" t="s">
        <v>2358</v>
      </c>
      <c r="D521" t="s">
        <v>2359</v>
      </c>
      <c r="E521" t="s">
        <v>413</v>
      </c>
      <c r="F521">
        <v>5</v>
      </c>
      <c r="G521" t="s">
        <v>539</v>
      </c>
      <c r="H521" t="s">
        <v>2399</v>
      </c>
      <c r="I521" t="s">
        <v>541</v>
      </c>
      <c r="J521" t="s">
        <v>542</v>
      </c>
      <c r="K521">
        <v>0</v>
      </c>
      <c r="L521">
        <v>0</v>
      </c>
      <c r="M521" t="s">
        <v>543</v>
      </c>
      <c r="N521" t="s">
        <v>544</v>
      </c>
      <c r="P521">
        <v>0</v>
      </c>
      <c r="R521" t="s">
        <v>2399</v>
      </c>
      <c r="S521">
        <v>1</v>
      </c>
      <c r="T521" t="s">
        <v>2400</v>
      </c>
      <c r="U521" t="s">
        <v>547</v>
      </c>
      <c r="Z521" t="s">
        <v>2401</v>
      </c>
      <c r="AA521" t="s">
        <v>549</v>
      </c>
      <c r="AB521" t="s">
        <v>541</v>
      </c>
      <c r="AC521" t="s">
        <v>550</v>
      </c>
      <c r="AD521" t="s">
        <v>551</v>
      </c>
      <c r="AE521" t="s">
        <v>409</v>
      </c>
      <c r="AF521" t="s">
        <v>2386</v>
      </c>
      <c r="AI521" t="s">
        <v>966</v>
      </c>
      <c r="AK521" t="s">
        <v>556</v>
      </c>
      <c r="AM521" t="s">
        <v>2365</v>
      </c>
      <c r="AN521" t="s">
        <v>558</v>
      </c>
      <c r="AO521" t="s">
        <v>2366</v>
      </c>
      <c r="AP521" t="s">
        <v>549</v>
      </c>
      <c r="AQ521" t="s">
        <v>549</v>
      </c>
      <c r="AR521" t="s">
        <v>2367</v>
      </c>
      <c r="AS521" t="s">
        <v>409</v>
      </c>
      <c r="AT521" t="s">
        <v>2386</v>
      </c>
      <c r="AW521" t="s">
        <v>966</v>
      </c>
      <c r="AY521" t="s">
        <v>556</v>
      </c>
      <c r="BA521" t="s">
        <v>2365</v>
      </c>
      <c r="BB521" t="s">
        <v>558</v>
      </c>
      <c r="BC521" t="s">
        <v>2366</v>
      </c>
      <c r="BD521" t="s">
        <v>2367</v>
      </c>
      <c r="BH521" t="s">
        <v>2393</v>
      </c>
      <c r="BI521" t="s">
        <v>2394</v>
      </c>
      <c r="BK521" t="s">
        <v>607</v>
      </c>
      <c r="BL521" t="s">
        <v>2387</v>
      </c>
      <c r="BM521" t="s">
        <v>2402</v>
      </c>
      <c r="BR521" t="s">
        <v>549</v>
      </c>
    </row>
    <row r="522" spans="1:70">
      <c r="A522" t="s">
        <v>2398</v>
      </c>
      <c r="B522" t="s">
        <v>409</v>
      </c>
      <c r="C522" t="s">
        <v>2358</v>
      </c>
      <c r="D522" t="s">
        <v>2359</v>
      </c>
      <c r="E522" t="s">
        <v>413</v>
      </c>
      <c r="F522">
        <v>5</v>
      </c>
      <c r="H522" t="s">
        <v>2399</v>
      </c>
      <c r="R522" t="s">
        <v>2399</v>
      </c>
      <c r="S522">
        <v>1</v>
      </c>
      <c r="T522" t="s">
        <v>2403</v>
      </c>
      <c r="U522" t="s">
        <v>547</v>
      </c>
      <c r="Z522" t="s">
        <v>2404</v>
      </c>
      <c r="AA522" t="s">
        <v>549</v>
      </c>
      <c r="AB522" t="s">
        <v>541</v>
      </c>
      <c r="AC522" t="s">
        <v>550</v>
      </c>
      <c r="AD522" t="s">
        <v>551</v>
      </c>
      <c r="BR522" t="s">
        <v>549</v>
      </c>
    </row>
    <row r="523" spans="1:70">
      <c r="A523" t="s">
        <v>2405</v>
      </c>
      <c r="B523" t="s">
        <v>409</v>
      </c>
      <c r="C523" t="s">
        <v>2358</v>
      </c>
      <c r="D523" t="s">
        <v>2359</v>
      </c>
      <c r="E523" t="s">
        <v>413</v>
      </c>
      <c r="F523">
        <v>4</v>
      </c>
      <c r="G523" t="s">
        <v>2314</v>
      </c>
      <c r="H523" t="s">
        <v>2406</v>
      </c>
      <c r="I523" t="s">
        <v>748</v>
      </c>
      <c r="J523" t="s">
        <v>542</v>
      </c>
      <c r="K523">
        <v>0</v>
      </c>
      <c r="N523" t="s">
        <v>544</v>
      </c>
      <c r="P523">
        <v>0</v>
      </c>
      <c r="R523" t="s">
        <v>2407</v>
      </c>
      <c r="S523">
        <v>1</v>
      </c>
      <c r="T523" t="s">
        <v>2391</v>
      </c>
      <c r="U523" t="s">
        <v>547</v>
      </c>
      <c r="Z523" t="s">
        <v>2392</v>
      </c>
      <c r="AA523" t="s">
        <v>549</v>
      </c>
      <c r="AB523" t="s">
        <v>748</v>
      </c>
      <c r="AC523" t="s">
        <v>550</v>
      </c>
      <c r="AD523" t="s">
        <v>551</v>
      </c>
      <c r="AE523" t="s">
        <v>409</v>
      </c>
      <c r="AF523" t="s">
        <v>2386</v>
      </c>
      <c r="AI523" t="s">
        <v>966</v>
      </c>
      <c r="AK523" t="s">
        <v>556</v>
      </c>
      <c r="AM523" t="s">
        <v>2365</v>
      </c>
      <c r="AN523" t="s">
        <v>558</v>
      </c>
      <c r="AO523" t="s">
        <v>2366</v>
      </c>
      <c r="AP523" t="s">
        <v>549</v>
      </c>
      <c r="AQ523" t="s">
        <v>549</v>
      </c>
      <c r="AR523" t="s">
        <v>2367</v>
      </c>
      <c r="AS523" t="s">
        <v>409</v>
      </c>
      <c r="AT523" t="s">
        <v>2386</v>
      </c>
      <c r="AW523" t="s">
        <v>966</v>
      </c>
      <c r="AY523" t="s">
        <v>556</v>
      </c>
      <c r="BA523" t="s">
        <v>2365</v>
      </c>
      <c r="BB523" t="s">
        <v>558</v>
      </c>
      <c r="BC523" t="s">
        <v>2366</v>
      </c>
      <c r="BD523" t="s">
        <v>2367</v>
      </c>
      <c r="BK523" t="s">
        <v>607</v>
      </c>
      <c r="BL523" t="s">
        <v>2387</v>
      </c>
      <c r="BM523" t="s">
        <v>2408</v>
      </c>
      <c r="BR523" t="s">
        <v>549</v>
      </c>
    </row>
    <row r="524" spans="1:70">
      <c r="A524" t="s">
        <v>2409</v>
      </c>
      <c r="B524" t="s">
        <v>409</v>
      </c>
      <c r="C524" t="s">
        <v>2358</v>
      </c>
      <c r="D524" t="s">
        <v>2359</v>
      </c>
      <c r="E524" t="s">
        <v>413</v>
      </c>
      <c r="F524">
        <v>3</v>
      </c>
      <c r="G524" t="s">
        <v>539</v>
      </c>
      <c r="H524" t="s">
        <v>2410</v>
      </c>
      <c r="I524" t="s">
        <v>748</v>
      </c>
      <c r="J524" t="s">
        <v>542</v>
      </c>
      <c r="K524">
        <v>0</v>
      </c>
      <c r="L524">
        <v>0</v>
      </c>
      <c r="M524" t="s">
        <v>543</v>
      </c>
      <c r="N524" t="s">
        <v>544</v>
      </c>
      <c r="P524">
        <v>0</v>
      </c>
      <c r="R524" t="s">
        <v>2411</v>
      </c>
      <c r="S524">
        <v>1</v>
      </c>
      <c r="T524" t="s">
        <v>2396</v>
      </c>
      <c r="U524" t="s">
        <v>547</v>
      </c>
      <c r="Z524" t="s">
        <v>2397</v>
      </c>
      <c r="AA524" t="s">
        <v>549</v>
      </c>
      <c r="AB524" t="s">
        <v>748</v>
      </c>
      <c r="AC524" t="s">
        <v>550</v>
      </c>
      <c r="AD524" t="s">
        <v>551</v>
      </c>
      <c r="AE524" t="s">
        <v>409</v>
      </c>
      <c r="AF524" t="s">
        <v>2386</v>
      </c>
      <c r="AI524" t="s">
        <v>966</v>
      </c>
      <c r="AK524" t="s">
        <v>556</v>
      </c>
      <c r="AM524" t="s">
        <v>2365</v>
      </c>
      <c r="AN524" t="s">
        <v>558</v>
      </c>
      <c r="AO524" t="s">
        <v>2366</v>
      </c>
      <c r="AP524" t="s">
        <v>549</v>
      </c>
      <c r="AQ524" t="s">
        <v>549</v>
      </c>
      <c r="AR524" t="s">
        <v>2367</v>
      </c>
      <c r="AS524" t="s">
        <v>409</v>
      </c>
      <c r="AT524" t="s">
        <v>2386</v>
      </c>
      <c r="AW524" t="s">
        <v>966</v>
      </c>
      <c r="AY524" t="s">
        <v>556</v>
      </c>
      <c r="BA524" t="s">
        <v>2365</v>
      </c>
      <c r="BB524" t="s">
        <v>558</v>
      </c>
      <c r="BC524" t="s">
        <v>2366</v>
      </c>
      <c r="BD524" t="s">
        <v>2367</v>
      </c>
      <c r="BH524" t="s">
        <v>2393</v>
      </c>
      <c r="BI524" t="s">
        <v>2394</v>
      </c>
      <c r="BK524" t="s">
        <v>607</v>
      </c>
      <c r="BL524" t="s">
        <v>2387</v>
      </c>
      <c r="BM524" t="s">
        <v>2412</v>
      </c>
      <c r="BR524" t="s">
        <v>549</v>
      </c>
    </row>
    <row r="525" spans="1:70">
      <c r="A525" t="s">
        <v>2409</v>
      </c>
      <c r="B525" t="s">
        <v>409</v>
      </c>
      <c r="C525" t="s">
        <v>2358</v>
      </c>
      <c r="D525" t="s">
        <v>2359</v>
      </c>
      <c r="E525" t="s">
        <v>413</v>
      </c>
      <c r="F525">
        <v>3</v>
      </c>
      <c r="H525" t="s">
        <v>2410</v>
      </c>
      <c r="R525" t="s">
        <v>2411</v>
      </c>
      <c r="S525">
        <v>1</v>
      </c>
      <c r="T525" t="s">
        <v>2391</v>
      </c>
      <c r="U525" t="s">
        <v>547</v>
      </c>
      <c r="Z525" t="s">
        <v>2392</v>
      </c>
      <c r="AA525" t="s">
        <v>549</v>
      </c>
      <c r="AB525" t="s">
        <v>748</v>
      </c>
      <c r="AC525" t="s">
        <v>550</v>
      </c>
      <c r="AD525" t="s">
        <v>551</v>
      </c>
      <c r="BR525" t="s">
        <v>549</v>
      </c>
    </row>
    <row r="526" spans="1:70">
      <c r="A526" t="s">
        <v>2413</v>
      </c>
      <c r="B526" t="s">
        <v>409</v>
      </c>
      <c r="C526" t="s">
        <v>2358</v>
      </c>
      <c r="D526" t="s">
        <v>2359</v>
      </c>
      <c r="E526" t="s">
        <v>413</v>
      </c>
      <c r="F526">
        <v>2</v>
      </c>
      <c r="G526" t="s">
        <v>2314</v>
      </c>
      <c r="H526" t="s">
        <v>2414</v>
      </c>
      <c r="I526" t="s">
        <v>748</v>
      </c>
      <c r="J526" t="s">
        <v>542</v>
      </c>
      <c r="K526">
        <v>0</v>
      </c>
      <c r="L526">
        <v>100</v>
      </c>
      <c r="M526" t="s">
        <v>543</v>
      </c>
      <c r="N526" t="s">
        <v>544</v>
      </c>
      <c r="O526">
        <v>16.670000000000002</v>
      </c>
      <c r="P526">
        <v>100</v>
      </c>
      <c r="R526" t="s">
        <v>2414</v>
      </c>
      <c r="S526">
        <v>1</v>
      </c>
      <c r="T526" t="s">
        <v>2396</v>
      </c>
      <c r="U526" t="s">
        <v>547</v>
      </c>
      <c r="Z526" t="s">
        <v>2397</v>
      </c>
      <c r="AA526" t="s">
        <v>549</v>
      </c>
      <c r="AB526" t="s">
        <v>748</v>
      </c>
      <c r="AC526" t="s">
        <v>550</v>
      </c>
      <c r="AD526" t="s">
        <v>551</v>
      </c>
      <c r="AE526" t="s">
        <v>409</v>
      </c>
      <c r="AF526" t="s">
        <v>2386</v>
      </c>
      <c r="AI526" t="s">
        <v>966</v>
      </c>
      <c r="AK526" t="s">
        <v>556</v>
      </c>
      <c r="AM526" t="s">
        <v>2365</v>
      </c>
      <c r="AN526" t="s">
        <v>558</v>
      </c>
      <c r="AO526" t="s">
        <v>2366</v>
      </c>
      <c r="AP526" t="s">
        <v>549</v>
      </c>
      <c r="AQ526" t="s">
        <v>549</v>
      </c>
      <c r="AR526" t="s">
        <v>2367</v>
      </c>
      <c r="AS526" t="s">
        <v>409</v>
      </c>
      <c r="AT526" t="s">
        <v>2386</v>
      </c>
      <c r="AW526" t="s">
        <v>966</v>
      </c>
      <c r="AY526" t="s">
        <v>556</v>
      </c>
      <c r="BA526" t="s">
        <v>2365</v>
      </c>
      <c r="BB526" t="s">
        <v>558</v>
      </c>
      <c r="BC526" t="s">
        <v>2366</v>
      </c>
      <c r="BD526" t="s">
        <v>2367</v>
      </c>
      <c r="BK526" t="s">
        <v>607</v>
      </c>
      <c r="BL526" t="s">
        <v>2387</v>
      </c>
      <c r="BM526" t="s">
        <v>2415</v>
      </c>
      <c r="BN526">
        <v>20</v>
      </c>
      <c r="BO526">
        <v>16.670000000000002</v>
      </c>
      <c r="BR526" t="s">
        <v>549</v>
      </c>
    </row>
    <row r="527" spans="1:70">
      <c r="A527" t="s">
        <v>2416</v>
      </c>
      <c r="E527" t="s">
        <v>549</v>
      </c>
      <c r="F527" t="s">
        <v>549</v>
      </c>
      <c r="G527" t="s">
        <v>2314</v>
      </c>
      <c r="H527" t="s">
        <v>2417</v>
      </c>
      <c r="I527" t="s">
        <v>1142</v>
      </c>
      <c r="J527" t="s">
        <v>542</v>
      </c>
      <c r="K527">
        <v>0</v>
      </c>
      <c r="N527" t="s">
        <v>544</v>
      </c>
      <c r="P527">
        <v>0</v>
      </c>
      <c r="R527" t="s">
        <v>2417</v>
      </c>
      <c r="S527">
        <v>1</v>
      </c>
      <c r="T527" t="s">
        <v>2396</v>
      </c>
      <c r="U527" t="s">
        <v>547</v>
      </c>
      <c r="Z527" t="s">
        <v>2397</v>
      </c>
      <c r="AA527" t="s">
        <v>549</v>
      </c>
      <c r="AB527" t="s">
        <v>1142</v>
      </c>
      <c r="AC527" t="s">
        <v>550</v>
      </c>
      <c r="AD527" t="s">
        <v>551</v>
      </c>
      <c r="BK527" t="s">
        <v>607</v>
      </c>
      <c r="BL527" t="s">
        <v>2387</v>
      </c>
      <c r="BM527" t="s">
        <v>2418</v>
      </c>
      <c r="BR527" t="s">
        <v>549</v>
      </c>
    </row>
    <row r="528" spans="1:70">
      <c r="A528" t="s">
        <v>2419</v>
      </c>
      <c r="B528" t="s">
        <v>409</v>
      </c>
      <c r="C528" t="s">
        <v>2358</v>
      </c>
      <c r="D528" t="s">
        <v>2359</v>
      </c>
      <c r="E528" t="s">
        <v>413</v>
      </c>
      <c r="F528">
        <v>1</v>
      </c>
      <c r="G528" t="s">
        <v>2314</v>
      </c>
      <c r="H528" t="s">
        <v>2420</v>
      </c>
      <c r="I528" t="s">
        <v>1142</v>
      </c>
      <c r="J528" t="s">
        <v>542</v>
      </c>
      <c r="K528">
        <v>3030</v>
      </c>
      <c r="L528">
        <v>0</v>
      </c>
      <c r="M528" t="s">
        <v>570</v>
      </c>
      <c r="N528" t="s">
        <v>544</v>
      </c>
      <c r="O528">
        <v>505</v>
      </c>
      <c r="P528">
        <v>3030</v>
      </c>
      <c r="R528" t="s">
        <v>2421</v>
      </c>
      <c r="S528">
        <v>1</v>
      </c>
      <c r="T528" t="s">
        <v>2422</v>
      </c>
      <c r="U528" t="s">
        <v>547</v>
      </c>
      <c r="V528">
        <v>3030</v>
      </c>
      <c r="W528">
        <v>3030</v>
      </c>
      <c r="Z528" t="s">
        <v>2423</v>
      </c>
      <c r="AA528" t="s">
        <v>549</v>
      </c>
      <c r="AB528" t="s">
        <v>1142</v>
      </c>
      <c r="AC528" t="s">
        <v>550</v>
      </c>
      <c r="AD528" t="s">
        <v>551</v>
      </c>
      <c r="AE528" t="s">
        <v>409</v>
      </c>
      <c r="AF528" t="s">
        <v>2386</v>
      </c>
      <c r="AI528" t="s">
        <v>966</v>
      </c>
      <c r="AK528" t="s">
        <v>556</v>
      </c>
      <c r="AM528" t="s">
        <v>2365</v>
      </c>
      <c r="AN528" t="s">
        <v>558</v>
      </c>
      <c r="AO528" t="s">
        <v>2366</v>
      </c>
      <c r="AP528" t="s">
        <v>549</v>
      </c>
      <c r="AQ528" t="s">
        <v>549</v>
      </c>
      <c r="AR528" t="s">
        <v>2367</v>
      </c>
      <c r="AS528" t="s">
        <v>409</v>
      </c>
      <c r="AT528" t="s">
        <v>2386</v>
      </c>
      <c r="AW528" t="s">
        <v>966</v>
      </c>
      <c r="AY528" t="s">
        <v>556</v>
      </c>
      <c r="BA528" t="s">
        <v>2365</v>
      </c>
      <c r="BB528" t="s">
        <v>558</v>
      </c>
      <c r="BC528" t="s">
        <v>2366</v>
      </c>
      <c r="BD528" t="s">
        <v>2367</v>
      </c>
      <c r="BK528" t="s">
        <v>2424</v>
      </c>
      <c r="BL528" t="s">
        <v>2387</v>
      </c>
      <c r="BM528" t="s">
        <v>2425</v>
      </c>
      <c r="BN528">
        <v>20</v>
      </c>
      <c r="BO528">
        <v>505</v>
      </c>
      <c r="BR528" t="s">
        <v>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5"/>
  <dimension ref="A1:B4"/>
  <sheetViews>
    <sheetView workbookViewId="0"/>
  </sheetViews>
  <sheetFormatPr defaultRowHeight="15"/>
  <sheetData>
    <row r="1" spans="1:2">
      <c r="A1" t="s">
        <v>25</v>
      </c>
      <c r="B1" t="s">
        <v>27</v>
      </c>
    </row>
    <row r="2" spans="1:2">
      <c r="A2" t="s">
        <v>2426</v>
      </c>
      <c r="B2" t="s">
        <v>54</v>
      </c>
    </row>
    <row r="3" spans="1:2">
      <c r="A3" t="s">
        <v>2427</v>
      </c>
      <c r="B3" t="s">
        <v>36</v>
      </c>
    </row>
    <row r="4" spans="1:2">
      <c r="A4" t="s">
        <v>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CRM_Tek_Sayfa</vt:lpstr>
      <vt:lpstr>İNDİRİMİN CİROYA ETKİSİ</vt:lpstr>
      <vt:lpstr>KAMPANYANIN CİROYA ETKİSİ</vt:lpstr>
      <vt:lpstr>data</vt:lpstr>
      <vt:lpstr>Listeler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Ulaş İŞİBOL</cp:lastModifiedBy>
  <cp:revision/>
  <dcterms:created xsi:type="dcterms:W3CDTF">2026-04-02T11:07:27Z</dcterms:created>
  <dcterms:modified xsi:type="dcterms:W3CDTF">2026-06-01T09:37:28Z</dcterms:modified>
  <cp:category/>
  <cp:contentStatus/>
</cp:coreProperties>
</file>